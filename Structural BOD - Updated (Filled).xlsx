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9seewhhackvmfkdmck3epsx4omd-my.sharepoint.com/personal/michael_shaffer_ansgeo_com/Documents/File Transfer/AutoLISP/BOD Excel Data Transfer/"/>
    </mc:Choice>
  </mc:AlternateContent>
  <xr:revisionPtr revIDLastSave="17" documentId="8_{D4E864D4-F291-4931-8A23-9386F04B7CDD}" xr6:coauthVersionLast="47" xr6:coauthVersionMax="47" xr10:uidLastSave="{6486FCD7-6647-4CD6-87AF-B983850F3B11}"/>
  <bookViews>
    <workbookView xWindow="-108" yWindow="-108" windowWidth="23256" windowHeight="13896" xr2:uid="{F71C250C-66FD-42FC-9742-FB15F8CBF2B1}"/>
  </bookViews>
  <sheets>
    <sheet name="PV_BESS BOD" sheetId="9" r:id="rId1"/>
    <sheet name="Substation BOD" sheetId="6" r:id="rId2"/>
    <sheet name="Data" sheetId="2" r:id="rId3"/>
  </sheets>
  <definedNames>
    <definedName name="_xlnm.Print_Area" localSheetId="0">'PV_BESS BOD'!$A$1:$J$181</definedName>
    <definedName name="_xlnm.Print_Area" localSheetId="1">'Substation BOD'!$A$1:$L$141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0" i="9" l="1"/>
  <c r="H158" i="9"/>
  <c r="H156" i="9"/>
  <c r="B38" i="9"/>
  <c r="B39" i="9"/>
  <c r="B40" i="9"/>
  <c r="B41" i="9"/>
</calcChain>
</file>

<file path=xl/sharedStrings.xml><?xml version="1.0" encoding="utf-8"?>
<sst xmlns="http://schemas.openxmlformats.org/spreadsheetml/2006/main" count="413" uniqueCount="216">
  <si>
    <t>System Specifications</t>
  </si>
  <si>
    <t>Project Data:</t>
  </si>
  <si>
    <t>Owner -</t>
  </si>
  <si>
    <t xml:space="preserve">  Project Name -</t>
  </si>
  <si>
    <t>Location -</t>
  </si>
  <si>
    <t>Lat. -</t>
  </si>
  <si>
    <t>Long. -</t>
  </si>
  <si>
    <t>PV Size (MWdc/Mwac) -</t>
  </si>
  <si>
    <t>Mwac</t>
  </si>
  <si>
    <t>BESS Size (MW/MWh)-</t>
  </si>
  <si>
    <t>MWh</t>
  </si>
  <si>
    <t>Owner Spec -</t>
  </si>
  <si>
    <t>Date Rec'd-</t>
  </si>
  <si>
    <t>If different from "Date Completed"</t>
  </si>
  <si>
    <t>System Design Life =</t>
  </si>
  <si>
    <t>years</t>
  </si>
  <si>
    <t>Min. Module Ht. above Flood =</t>
  </si>
  <si>
    <t>in</t>
  </si>
  <si>
    <t>Min. Elec. Equip.  Ht. above Flood =</t>
  </si>
  <si>
    <t>Min. Equip. Ht. Above Grade =</t>
  </si>
  <si>
    <t>PV, Risk Category -</t>
  </si>
  <si>
    <t>BESS, Risk Category -</t>
  </si>
  <si>
    <t>Structural Design</t>
  </si>
  <si>
    <t>Governing Codes:</t>
  </si>
  <si>
    <t>IBC version -</t>
  </si>
  <si>
    <t>ASCE version -</t>
  </si>
  <si>
    <t>State Building Code -</t>
  </si>
  <si>
    <t>Other -</t>
  </si>
  <si>
    <t>Notes:</t>
  </si>
  <si>
    <t>Wind Speed, V =</t>
  </si>
  <si>
    <t>mph</t>
  </si>
  <si>
    <t>Exposure -</t>
  </si>
  <si>
    <t>Ground Snow, Pg =</t>
  </si>
  <si>
    <t>psf</t>
  </si>
  <si>
    <t>Ice Thickness, t =</t>
  </si>
  <si>
    <t>Wind on Ice, Vc =</t>
  </si>
  <si>
    <t>PV</t>
  </si>
  <si>
    <t>BESS</t>
  </si>
  <si>
    <t>Snow Importance, Is =</t>
  </si>
  <si>
    <t>(Valid for ASCE 7-16 and 7-22, verify if other)</t>
  </si>
  <si>
    <t>Seismic Importance, Ie =</t>
  </si>
  <si>
    <t>Ice Thick. Importance, Ic =</t>
  </si>
  <si>
    <t>Ice Wind Importance, Iw =</t>
  </si>
  <si>
    <t>Site Evelation =</t>
  </si>
  <si>
    <t>ft</t>
  </si>
  <si>
    <t>Geotechnical:</t>
  </si>
  <si>
    <t>Consultant -</t>
  </si>
  <si>
    <t>Report Name -</t>
  </si>
  <si>
    <t>Report Date -</t>
  </si>
  <si>
    <t xml:space="preserve">Depth to Ground Water = </t>
  </si>
  <si>
    <t xml:space="preserve">Seismic Parameters: </t>
  </si>
  <si>
    <t>Site Class -</t>
  </si>
  <si>
    <t>Ss =</t>
  </si>
  <si>
    <t>g</t>
  </si>
  <si>
    <t>S1 =</t>
  </si>
  <si>
    <t>Sds =</t>
  </si>
  <si>
    <t>Sd1 =</t>
  </si>
  <si>
    <t>Seismic Design Category -</t>
  </si>
  <si>
    <t>Foundations:</t>
  </si>
  <si>
    <t>Lpile Parameters Provide?</t>
  </si>
  <si>
    <t>Allowable Bearing Provided?</t>
  </si>
  <si>
    <t>Soil Depth to Neglect (General) =</t>
  </si>
  <si>
    <t xml:space="preserve"> Consider Adfreeze ?</t>
  </si>
  <si>
    <t>Adfreeze Depth =</t>
  </si>
  <si>
    <t>Adfreeze Stress =</t>
  </si>
  <si>
    <t>psf/ft</t>
  </si>
  <si>
    <t>Adfreeze FOS =</t>
  </si>
  <si>
    <t>Expansive Soils?</t>
  </si>
  <si>
    <t>Expansive Soil Depth =</t>
  </si>
  <si>
    <t>Expansive Pressure =</t>
  </si>
  <si>
    <t>Expansion FOS =</t>
  </si>
  <si>
    <t>Foundation Testing:</t>
  </si>
  <si>
    <t>Soil Corrosion:</t>
  </si>
  <si>
    <t>Date Rec'd -</t>
  </si>
  <si>
    <t>Level -</t>
  </si>
  <si>
    <t>Electrical Resistivity =</t>
  </si>
  <si>
    <t>ohm/cm</t>
  </si>
  <si>
    <t>Galv. Thickness Recommentation =</t>
  </si>
  <si>
    <t>mils</t>
  </si>
  <si>
    <t>Hydrology:</t>
  </si>
  <si>
    <t>Design Scour Depth =</t>
  </si>
  <si>
    <t>Design Flood Depth: =</t>
  </si>
  <si>
    <t>Civil:</t>
  </si>
  <si>
    <t>Drawing Set -</t>
  </si>
  <si>
    <t>Drawing Date -</t>
  </si>
  <si>
    <t>Total Developed Area =</t>
  </si>
  <si>
    <t>Acres</t>
  </si>
  <si>
    <t>Design Site Slope in PV Areas -</t>
  </si>
  <si>
    <t>N/S =</t>
  </si>
  <si>
    <t>deg.</t>
  </si>
  <si>
    <t>E/W =</t>
  </si>
  <si>
    <t>Design Site Slope in BESS Areas -</t>
  </si>
  <si>
    <t>Atmospheric:</t>
  </si>
  <si>
    <t>Equipment</t>
  </si>
  <si>
    <t>PV Racking:</t>
  </si>
  <si>
    <t>Manufacturer -</t>
  </si>
  <si>
    <t>Model -</t>
  </si>
  <si>
    <t>Maximum Tilt =</t>
  </si>
  <si>
    <t>Terrain Following? -</t>
  </si>
  <si>
    <t>Rack Foundation Tolerance:</t>
  </si>
  <si>
    <t>Lateral Defl. (@ top of pile)-</t>
  </si>
  <si>
    <t>Strong Axis =</t>
  </si>
  <si>
    <t>Weak Axis =</t>
  </si>
  <si>
    <t>Lateral Defl. (@ grade) -</t>
  </si>
  <si>
    <t>Vertical  Defl.-</t>
  </si>
  <si>
    <t>Up =</t>
  </si>
  <si>
    <t>Down =</t>
  </si>
  <si>
    <t>Twist =</t>
  </si>
  <si>
    <t>Racking Docs 1 -</t>
  </si>
  <si>
    <t>Racking Docs 2 -</t>
  </si>
  <si>
    <t>Racking Docs 3 -</t>
  </si>
  <si>
    <t>Racking Docs 4 -</t>
  </si>
  <si>
    <t>Racking Docs 5 -</t>
  </si>
  <si>
    <t>Modules:</t>
  </si>
  <si>
    <t>Module Installation Manual -</t>
  </si>
  <si>
    <t>Module Specification Sheet -</t>
  </si>
  <si>
    <t>Weight =</t>
  </si>
  <si>
    <t xml:space="preserve">lb </t>
  </si>
  <si>
    <t>Length =</t>
  </si>
  <si>
    <t>Width =</t>
  </si>
  <si>
    <t>Thickness =</t>
  </si>
  <si>
    <t>Allowable Pressure, Front =</t>
  </si>
  <si>
    <t>downward or inward pressure</t>
  </si>
  <si>
    <t>Allowable Pressure, Back =</t>
  </si>
  <si>
    <t>suction or outward pressure</t>
  </si>
  <si>
    <t>PV Inverter:</t>
  </si>
  <si>
    <t>Inverter Installation Manual -</t>
  </si>
  <si>
    <t>Invereter Specification Sheet -</t>
  </si>
  <si>
    <t xml:space="preserve">mm to in converstion - </t>
  </si>
  <si>
    <t>Height =</t>
  </si>
  <si>
    <t>mm</t>
  </si>
  <si>
    <t>=</t>
  </si>
  <si>
    <t>kgs to lbs converstion -</t>
  </si>
  <si>
    <t>kg</t>
  </si>
  <si>
    <t>lb</t>
  </si>
  <si>
    <t>Pascals to psf converstion -</t>
  </si>
  <si>
    <t>PV Wire Management:</t>
  </si>
  <si>
    <t>Pa</t>
  </si>
  <si>
    <t>Pile Supported?</t>
  </si>
  <si>
    <t>Yes</t>
  </si>
  <si>
    <t>WM Installation Manual -</t>
  </si>
  <si>
    <t>WM Specification Sheet -</t>
  </si>
  <si>
    <t>Cable Tray Supported?</t>
  </si>
  <si>
    <t>No</t>
  </si>
  <si>
    <t>Trenched?</t>
  </si>
  <si>
    <t>Minimum Depth =</t>
  </si>
  <si>
    <t>Special Requirement?</t>
  </si>
  <si>
    <t>Other?</t>
  </si>
  <si>
    <t>Specify -</t>
  </si>
  <si>
    <t>Owner:</t>
  </si>
  <si>
    <t>Min. Ht. Above Grade =</t>
  </si>
  <si>
    <t>Risk Category -</t>
  </si>
  <si>
    <t>Design</t>
  </si>
  <si>
    <t>Snow Importance Factor, Is =</t>
  </si>
  <si>
    <t>Seismic Importance Factor, Ie =</t>
  </si>
  <si>
    <t>Corrosion:</t>
  </si>
  <si>
    <t>Galv. Thickness =</t>
  </si>
  <si>
    <t>Pull Testing Completed?</t>
  </si>
  <si>
    <t>Depth =</t>
  </si>
  <si>
    <t>Stress =</t>
  </si>
  <si>
    <t xml:space="preserve"> Max. Scour Depth =</t>
  </si>
  <si>
    <t>Max. Flood Depth: =</t>
  </si>
  <si>
    <t>Max. Site Slope in PV Areas -</t>
  </si>
  <si>
    <t>Max. Site Slope in BESS Areas -</t>
  </si>
  <si>
    <t>Max. Site Slope in Substation -</t>
  </si>
  <si>
    <t>Manufacturer / Model -</t>
  </si>
  <si>
    <t>TOPL Docs -</t>
  </si>
  <si>
    <t>BESS:</t>
  </si>
  <si>
    <t>Inverter:</t>
  </si>
  <si>
    <t>Wire Management:</t>
  </si>
  <si>
    <t>Corrosion</t>
  </si>
  <si>
    <t>Site Class</t>
  </si>
  <si>
    <t>SDC</t>
  </si>
  <si>
    <t>Risk Cat</t>
  </si>
  <si>
    <t>ASCE</t>
  </si>
  <si>
    <t>IBC</t>
  </si>
  <si>
    <t>Galv Thick</t>
  </si>
  <si>
    <t>Exposure</t>
  </si>
  <si>
    <t>Atm. Cor.</t>
  </si>
  <si>
    <t xml:space="preserve">Low </t>
  </si>
  <si>
    <t>A</t>
  </si>
  <si>
    <t>I</t>
  </si>
  <si>
    <t>7-10</t>
  </si>
  <si>
    <t>B</t>
  </si>
  <si>
    <t>C1</t>
  </si>
  <si>
    <t>Medium</t>
  </si>
  <si>
    <t>II</t>
  </si>
  <si>
    <t>7-16</t>
  </si>
  <si>
    <t>C</t>
  </si>
  <si>
    <t>C2</t>
  </si>
  <si>
    <t>High</t>
  </si>
  <si>
    <t>III</t>
  </si>
  <si>
    <t>7-22</t>
  </si>
  <si>
    <t>D</t>
  </si>
  <si>
    <t>C3</t>
  </si>
  <si>
    <t>Extreme</t>
  </si>
  <si>
    <t>IV</t>
  </si>
  <si>
    <t>E</t>
  </si>
  <si>
    <t>F</t>
  </si>
  <si>
    <t>Lat.</t>
  </si>
  <si>
    <t>Long.</t>
  </si>
  <si>
    <t>Date Completed</t>
  </si>
  <si>
    <t>By</t>
  </si>
  <si>
    <t xml:space="preserve">MWdc / </t>
  </si>
  <si>
    <t xml:space="preserve">MW / </t>
  </si>
  <si>
    <t>PV Size -</t>
  </si>
  <si>
    <t>BESS Size -</t>
  </si>
  <si>
    <t>Owner Requirements:</t>
  </si>
  <si>
    <t>Geographic Coordinates -</t>
  </si>
  <si>
    <t>Importance Factors:</t>
  </si>
  <si>
    <t>Consider Adfreeze ?</t>
  </si>
  <si>
    <t>MJS</t>
  </si>
  <si>
    <t>QCELLs</t>
  </si>
  <si>
    <t>Testing Project</t>
  </si>
  <si>
    <t>Charlotte, North Carolina</t>
  </si>
  <si>
    <t>North Carolina IBC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</si>
</sst>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3" borderId="0" xfId="0" applyFont="1" applyFill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5" fillId="0" borderId="0" xfId="0" applyFont="1"/>
    <xf numFmtId="0" fontId="4" fillId="2" borderId="1" xfId="0" applyFont="1" applyFill="1" applyBorder="1"/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6" fillId="4" borderId="0" xfId="0" applyFont="1" applyFill="1" applyAlignment="1">
      <alignment horizontal="left"/>
    </xf>
    <xf numFmtId="0" fontId="0" fillId="4" borderId="0" xfId="0" applyFill="1"/>
    <xf numFmtId="0" fontId="6" fillId="4" borderId="0" xfId="0" applyFont="1" applyFill="1"/>
    <xf numFmtId="0" fontId="4" fillId="4" borderId="0" xfId="0" applyFont="1" applyFill="1"/>
    <xf numFmtId="0" fontId="0" fillId="0" borderId="7" xfId="0" applyBorder="1" applyAlignment="1">
      <alignment horizontal="center"/>
    </xf>
    <xf numFmtId="0" fontId="7" fillId="4" borderId="0" xfId="0" applyFont="1" applyFill="1" applyAlignment="1">
      <alignment horizontal="left"/>
    </xf>
    <xf numFmtId="0" fontId="7" fillId="4" borderId="0" xfId="0" applyFont="1" applyFill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5" fillId="0" borderId="0" xfId="0" applyNumberFormat="1" applyFont="1"/>
    <xf numFmtId="0" fontId="5" fillId="0" borderId="1" xfId="0" applyFont="1" applyBorder="1"/>
    <xf numFmtId="0" fontId="0" fillId="5" borderId="1" xfId="0" applyFill="1" applyBorder="1"/>
    <xf numFmtId="0" fontId="0" fillId="5" borderId="6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2" fontId="0" fillId="5" borderId="1" xfId="0" applyNumberFormat="1" applyFill="1" applyBorder="1"/>
    <xf numFmtId="2" fontId="0" fillId="5" borderId="1" xfId="0" applyNumberFormat="1" applyFill="1" applyBorder="1" applyAlignment="1">
      <alignment horizontal="right"/>
    </xf>
    <xf numFmtId="0" fontId="0" fillId="5" borderId="6" xfId="0" applyFill="1" applyBorder="1"/>
    <xf numFmtId="0" fontId="0" fillId="5" borderId="5" xfId="0" applyFill="1" applyBorder="1"/>
    <xf numFmtId="0" fontId="0" fillId="5" borderId="1" xfId="0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457D-6406-4024-9D05-06DE00C3FF13}">
  <dimension ref="A2:I182"/>
  <sheetViews>
    <sheetView tabSelected="1" topLeftCell="A6" zoomScale="85" zoomScaleNormal="85" zoomScaleSheetLayoutView="70" workbookViewId="0">
      <selection activeCell="N12" sqref="N12"/>
    </sheetView>
  </sheetViews>
  <sheetFormatPr defaultRowHeight="14.4" x14ac:dyDescent="0.3"/>
  <cols>
    <col min="1" max="1" width="27.33203125" customWidth="1"/>
    <col min="2" max="2" width="12.109375" bestFit="1" customWidth="1"/>
    <col min="5" max="6" width="9" customWidth="1"/>
    <col min="8" max="10" width="7.33203125" customWidth="1"/>
  </cols>
  <sheetData>
    <row r="2" spans="1:7" ht="15.6" x14ac:dyDescent="0.3">
      <c r="A2" s="6" t="s">
        <v>201</v>
      </c>
      <c r="B2" s="43">
        <v>45942</v>
      </c>
      <c r="C2" s="6" t="s">
        <v>202</v>
      </c>
      <c r="D2" s="28" t="s">
        <v>211</v>
      </c>
    </row>
    <row r="4" spans="1:7" ht="18" x14ac:dyDescent="0.35">
      <c r="A4" s="20" t="s">
        <v>0</v>
      </c>
      <c r="B4" s="18"/>
      <c r="C4" s="16"/>
      <c r="D4" s="16"/>
      <c r="E4" s="16"/>
      <c r="F4" s="16"/>
      <c r="G4" s="16"/>
    </row>
    <row r="6" spans="1:7" x14ac:dyDescent="0.3">
      <c r="A6" s="4" t="s">
        <v>1</v>
      </c>
    </row>
    <row r="7" spans="1:7" x14ac:dyDescent="0.3">
      <c r="A7" s="1" t="s">
        <v>2</v>
      </c>
      <c r="B7" s="50" t="s">
        <v>212</v>
      </c>
      <c r="C7" s="51"/>
      <c r="D7" s="51"/>
      <c r="E7" s="52"/>
      <c r="F7" s="2"/>
    </row>
    <row r="8" spans="1:7" x14ac:dyDescent="0.3">
      <c r="A8" s="1" t="s">
        <v>3</v>
      </c>
      <c r="B8" s="50" t="s">
        <v>213</v>
      </c>
      <c r="C8" s="51"/>
      <c r="D8" s="51"/>
      <c r="E8" s="52"/>
      <c r="F8" s="2"/>
    </row>
    <row r="9" spans="1:7" x14ac:dyDescent="0.3">
      <c r="A9" s="1" t="s">
        <v>4</v>
      </c>
      <c r="B9" s="47" t="s">
        <v>214</v>
      </c>
      <c r="C9" s="48"/>
      <c r="D9" s="48"/>
      <c r="E9" s="49"/>
      <c r="F9" s="3"/>
    </row>
    <row r="10" spans="1:7" x14ac:dyDescent="0.3">
      <c r="A10" s="1" t="s">
        <v>208</v>
      </c>
      <c r="B10" s="1" t="s">
        <v>199</v>
      </c>
      <c r="C10" s="23">
        <v>12.345000000000001</v>
      </c>
      <c r="D10" s="1" t="s">
        <v>200</v>
      </c>
      <c r="E10" s="23">
        <v>-56.789000000000001</v>
      </c>
      <c r="F10" s="3"/>
    </row>
    <row r="11" spans="1:7" x14ac:dyDescent="0.3">
      <c r="A11" s="1" t="s">
        <v>205</v>
      </c>
      <c r="B11" s="23">
        <v>120</v>
      </c>
      <c r="C11" t="s">
        <v>203</v>
      </c>
      <c r="D11" s="23">
        <v>150</v>
      </c>
      <c r="E11" t="s">
        <v>8</v>
      </c>
      <c r="F11" s="3"/>
    </row>
    <row r="12" spans="1:7" x14ac:dyDescent="0.3">
      <c r="A12" s="1" t="s">
        <v>206</v>
      </c>
      <c r="B12" s="23">
        <v>210</v>
      </c>
      <c r="C12" t="s">
        <v>204</v>
      </c>
      <c r="D12" s="23">
        <v>200</v>
      </c>
      <c r="E12" t="s">
        <v>10</v>
      </c>
    </row>
    <row r="13" spans="1:7" x14ac:dyDescent="0.3">
      <c r="A13" s="25"/>
      <c r="B13" s="25"/>
      <c r="C13" s="25"/>
      <c r="D13" s="25"/>
      <c r="E13" s="25"/>
      <c r="F13" s="25"/>
    </row>
    <row r="14" spans="1:7" x14ac:dyDescent="0.3">
      <c r="A14" s="4" t="s">
        <v>207</v>
      </c>
      <c r="B14" s="1"/>
    </row>
    <row r="15" spans="1:7" x14ac:dyDescent="0.3">
      <c r="A15" s="1" t="s">
        <v>11</v>
      </c>
      <c r="B15" s="47"/>
      <c r="C15" s="48"/>
      <c r="D15" s="48"/>
      <c r="E15" s="49"/>
      <c r="F15" s="3"/>
    </row>
    <row r="16" spans="1:7" x14ac:dyDescent="0.3">
      <c r="A16" s="1" t="s">
        <v>12</v>
      </c>
      <c r="B16" s="23"/>
      <c r="D16" s="10" t="s">
        <v>13</v>
      </c>
      <c r="E16" s="3"/>
      <c r="F16" s="3"/>
    </row>
    <row r="17" spans="1:7" x14ac:dyDescent="0.3">
      <c r="A17" s="1" t="s">
        <v>14</v>
      </c>
      <c r="B17" s="42"/>
      <c r="C17" s="2" t="s">
        <v>15</v>
      </c>
      <c r="D17" s="3"/>
      <c r="E17" s="3"/>
      <c r="F17" s="3"/>
    </row>
    <row r="18" spans="1:7" x14ac:dyDescent="0.3">
      <c r="A18" s="1" t="s">
        <v>16</v>
      </c>
      <c r="B18" s="27"/>
      <c r="C18" t="s">
        <v>17</v>
      </c>
      <c r="D18" s="25"/>
      <c r="E18" s="25"/>
      <c r="F18" s="25"/>
    </row>
    <row r="19" spans="1:7" x14ac:dyDescent="0.3">
      <c r="A19" s="1" t="s">
        <v>18</v>
      </c>
      <c r="B19" s="27"/>
      <c r="C19" t="s">
        <v>17</v>
      </c>
      <c r="D19" s="25"/>
      <c r="E19" s="25"/>
      <c r="F19" s="25"/>
    </row>
    <row r="20" spans="1:7" x14ac:dyDescent="0.3">
      <c r="A20" s="1" t="s">
        <v>19</v>
      </c>
      <c r="B20" s="23"/>
      <c r="C20" t="s">
        <v>17</v>
      </c>
      <c r="D20" s="25"/>
      <c r="E20" s="25"/>
      <c r="F20" s="25"/>
    </row>
    <row r="21" spans="1:7" x14ac:dyDescent="0.3">
      <c r="A21" s="1" t="s">
        <v>20</v>
      </c>
      <c r="B21" s="36"/>
      <c r="D21" s="25"/>
      <c r="E21" s="25"/>
      <c r="F21" s="25"/>
    </row>
    <row r="22" spans="1:7" x14ac:dyDescent="0.3">
      <c r="A22" s="1" t="s">
        <v>21</v>
      </c>
      <c r="B22" s="42"/>
      <c r="D22" s="25"/>
      <c r="E22" s="25"/>
      <c r="F22" s="25"/>
    </row>
    <row r="23" spans="1:7" x14ac:dyDescent="0.3">
      <c r="A23" s="1"/>
      <c r="D23" s="25"/>
      <c r="E23" s="25"/>
      <c r="F23" s="25"/>
    </row>
    <row r="24" spans="1:7" x14ac:dyDescent="0.3">
      <c r="A24" s="25"/>
      <c r="B24" s="25"/>
      <c r="C24" s="25"/>
      <c r="D24" s="25"/>
      <c r="E24" s="25"/>
      <c r="F24" s="25"/>
    </row>
    <row r="25" spans="1:7" ht="15" customHeight="1" x14ac:dyDescent="0.35">
      <c r="A25" s="20" t="s">
        <v>22</v>
      </c>
      <c r="B25" s="16"/>
      <c r="C25" s="16"/>
      <c r="D25" s="16"/>
      <c r="E25" s="16"/>
      <c r="F25" s="16"/>
      <c r="G25" s="16"/>
    </row>
    <row r="26" spans="1:7" x14ac:dyDescent="0.3">
      <c r="A26" s="1"/>
      <c r="B26" s="1"/>
    </row>
    <row r="27" spans="1:7" x14ac:dyDescent="0.3">
      <c r="A27" s="4" t="s">
        <v>23</v>
      </c>
      <c r="B27" s="1"/>
    </row>
    <row r="28" spans="1:7" x14ac:dyDescent="0.3">
      <c r="A28" s="1" t="s">
        <v>24</v>
      </c>
      <c r="B28" s="57">
        <v>2018</v>
      </c>
    </row>
    <row r="29" spans="1:7" x14ac:dyDescent="0.3">
      <c r="A29" s="1" t="s">
        <v>25</v>
      </c>
      <c r="B29" s="36"/>
    </row>
    <row r="30" spans="1:7" x14ac:dyDescent="0.3">
      <c r="A30" s="1" t="s">
        <v>26</v>
      </c>
      <c r="B30" s="44" t="s">
        <v>215</v>
      </c>
      <c r="C30" s="45"/>
      <c r="D30" s="45"/>
      <c r="E30" s="46"/>
      <c r="F30" s="2"/>
    </row>
    <row r="31" spans="1:7" x14ac:dyDescent="0.3">
      <c r="A31" s="1" t="s">
        <v>27</v>
      </c>
      <c r="B31" s="50"/>
      <c r="C31" s="52"/>
      <c r="D31" s="2"/>
      <c r="E31" s="2" t="s">
        <v>28</v>
      </c>
      <c r="F31" s="2"/>
    </row>
    <row r="32" spans="1:7" x14ac:dyDescent="0.3">
      <c r="A32" s="1" t="s">
        <v>29</v>
      </c>
      <c r="B32" s="37"/>
      <c r="C32" s="2" t="s">
        <v>30</v>
      </c>
      <c r="D32" s="25"/>
      <c r="E32" s="25"/>
      <c r="F32" s="25"/>
    </row>
    <row r="33" spans="1:6" x14ac:dyDescent="0.3">
      <c r="A33" s="1" t="s">
        <v>31</v>
      </c>
      <c r="B33" s="37"/>
      <c r="C33" s="2"/>
      <c r="D33" s="25"/>
      <c r="E33" s="25"/>
      <c r="F33" s="25"/>
    </row>
    <row r="34" spans="1:6" x14ac:dyDescent="0.3">
      <c r="A34" s="1" t="s">
        <v>32</v>
      </c>
      <c r="B34" s="37"/>
      <c r="C34" s="2" t="s">
        <v>33</v>
      </c>
      <c r="D34" s="25"/>
      <c r="E34" s="25"/>
      <c r="F34" s="25"/>
    </row>
    <row r="35" spans="1:6" x14ac:dyDescent="0.3">
      <c r="A35" s="1" t="s">
        <v>34</v>
      </c>
      <c r="B35" s="37"/>
      <c r="C35" s="2" t="s">
        <v>17</v>
      </c>
      <c r="D35" s="25"/>
      <c r="E35" s="25"/>
      <c r="F35" s="25"/>
    </row>
    <row r="36" spans="1:6" x14ac:dyDescent="0.3">
      <c r="A36" s="1" t="s">
        <v>35</v>
      </c>
      <c r="B36" s="37"/>
      <c r="C36" s="2" t="s">
        <v>30</v>
      </c>
      <c r="D36" s="25"/>
      <c r="E36" s="25"/>
      <c r="F36" s="25"/>
    </row>
    <row r="37" spans="1:6" x14ac:dyDescent="0.3">
      <c r="A37" s="5" t="s">
        <v>209</v>
      </c>
      <c r="B37" s="24" t="s">
        <v>36</v>
      </c>
      <c r="C37" s="24" t="s">
        <v>37</v>
      </c>
      <c r="E37" s="2"/>
      <c r="F37" s="29"/>
    </row>
    <row r="38" spans="1:6" ht="14.4" customHeight="1" x14ac:dyDescent="0.3">
      <c r="A38" s="1" t="s">
        <v>38</v>
      </c>
      <c r="B38" s="38" t="str">
        <f>IF(B22="","",IF(B22="I",0.8,IF(B22="II",1,IF(B22="III",1.1,1.2))))</f>
        <v/>
      </c>
      <c r="C38" s="12"/>
      <c r="D38" s="53" t="s">
        <v>39</v>
      </c>
      <c r="E38" s="54"/>
      <c r="F38" s="29"/>
    </row>
    <row r="39" spans="1:6" ht="14.4" customHeight="1" x14ac:dyDescent="0.3">
      <c r="A39" s="1" t="s">
        <v>40</v>
      </c>
      <c r="B39" s="38" t="str">
        <f>IF(B22="","",IF(B22="I",1,IF(B22="II",1,IF(B22="III",1.25,1.5))))</f>
        <v/>
      </c>
      <c r="C39" s="12"/>
      <c r="D39" s="53"/>
      <c r="E39" s="54"/>
      <c r="F39" s="29"/>
    </row>
    <row r="40" spans="1:6" x14ac:dyDescent="0.3">
      <c r="A40" s="1" t="s">
        <v>41</v>
      </c>
      <c r="B40" s="38" t="str">
        <f>IF(B22="","",IF(B22="I",0.8,IF(B22="II",1,IF(B22="III",1.15,1.25))))</f>
        <v/>
      </c>
      <c r="C40" s="12"/>
      <c r="D40" s="53"/>
      <c r="E40" s="54"/>
      <c r="F40" s="29"/>
    </row>
    <row r="41" spans="1:6" x14ac:dyDescent="0.3">
      <c r="A41" s="1" t="s">
        <v>42</v>
      </c>
      <c r="B41" s="39" t="str">
        <f>IF(B22="","",1)</f>
        <v/>
      </c>
      <c r="C41" s="12"/>
      <c r="D41" s="53"/>
      <c r="E41" s="54"/>
    </row>
    <row r="42" spans="1:6" x14ac:dyDescent="0.3">
      <c r="A42" s="1" t="s">
        <v>43</v>
      </c>
      <c r="B42" s="12"/>
      <c r="C42" s="2" t="s">
        <v>44</v>
      </c>
      <c r="D42" s="2"/>
      <c r="E42" s="2"/>
      <c r="F42" s="2"/>
    </row>
    <row r="43" spans="1:6" x14ac:dyDescent="0.3">
      <c r="A43" s="1"/>
      <c r="B43" s="2"/>
      <c r="C43" s="2"/>
      <c r="D43" s="2"/>
      <c r="E43" s="2"/>
      <c r="F43" s="2"/>
    </row>
    <row r="44" spans="1:6" x14ac:dyDescent="0.3">
      <c r="A44" s="1"/>
      <c r="B44" s="2"/>
      <c r="C44" s="2"/>
      <c r="D44" s="2"/>
      <c r="E44" s="2"/>
      <c r="F44" s="2"/>
    </row>
    <row r="45" spans="1:6" x14ac:dyDescent="0.3">
      <c r="A45" s="4" t="s">
        <v>45</v>
      </c>
      <c r="B45" s="1"/>
    </row>
    <row r="46" spans="1:6" x14ac:dyDescent="0.3">
      <c r="A46" s="1" t="s">
        <v>46</v>
      </c>
      <c r="B46" s="44"/>
      <c r="C46" s="45"/>
      <c r="D46" s="45"/>
      <c r="E46" s="46"/>
      <c r="F46" s="2"/>
    </row>
    <row r="47" spans="1:6" x14ac:dyDescent="0.3">
      <c r="A47" s="1" t="s">
        <v>47</v>
      </c>
      <c r="B47" s="44"/>
      <c r="C47" s="45"/>
      <c r="D47" s="45"/>
      <c r="E47" s="46"/>
      <c r="F47" s="2"/>
    </row>
    <row r="48" spans="1:6" x14ac:dyDescent="0.3">
      <c r="A48" s="1" t="s">
        <v>48</v>
      </c>
      <c r="B48" s="35"/>
    </row>
    <row r="49" spans="1:6" x14ac:dyDescent="0.3">
      <c r="A49" s="1" t="s">
        <v>12</v>
      </c>
      <c r="B49" s="8"/>
      <c r="C49" s="10" t="s">
        <v>13</v>
      </c>
    </row>
    <row r="50" spans="1:6" x14ac:dyDescent="0.3">
      <c r="A50" s="1" t="s">
        <v>49</v>
      </c>
      <c r="B50" s="8"/>
      <c r="C50" t="s">
        <v>44</v>
      </c>
    </row>
    <row r="51" spans="1:6" x14ac:dyDescent="0.3">
      <c r="A51" s="5" t="s">
        <v>50</v>
      </c>
      <c r="D51" s="25"/>
      <c r="E51" s="25"/>
      <c r="F51" s="25"/>
    </row>
    <row r="52" spans="1:6" x14ac:dyDescent="0.3">
      <c r="A52" s="1" t="s">
        <v>51</v>
      </c>
      <c r="B52" s="35"/>
      <c r="D52" s="25"/>
      <c r="E52" s="25"/>
      <c r="F52" s="25"/>
    </row>
    <row r="53" spans="1:6" x14ac:dyDescent="0.3">
      <c r="A53" s="1" t="s">
        <v>52</v>
      </c>
      <c r="B53" s="35"/>
      <c r="C53" t="s">
        <v>53</v>
      </c>
      <c r="D53" s="25"/>
      <c r="E53" s="25"/>
      <c r="F53" s="25"/>
    </row>
    <row r="54" spans="1:6" x14ac:dyDescent="0.3">
      <c r="A54" s="1" t="s">
        <v>54</v>
      </c>
      <c r="B54" s="35"/>
      <c r="C54" t="s">
        <v>53</v>
      </c>
      <c r="D54" s="25"/>
      <c r="E54" s="25"/>
      <c r="F54" s="25"/>
    </row>
    <row r="55" spans="1:6" x14ac:dyDescent="0.3">
      <c r="A55" s="1" t="s">
        <v>55</v>
      </c>
      <c r="B55" s="35"/>
      <c r="C55" t="s">
        <v>53</v>
      </c>
      <c r="D55" s="25"/>
      <c r="E55" s="25"/>
      <c r="F55" s="25"/>
    </row>
    <row r="56" spans="1:6" x14ac:dyDescent="0.3">
      <c r="A56" s="1" t="s">
        <v>56</v>
      </c>
      <c r="B56" s="35"/>
      <c r="C56" t="s">
        <v>53</v>
      </c>
      <c r="D56" s="25"/>
      <c r="E56" s="25"/>
      <c r="F56" s="25"/>
    </row>
    <row r="57" spans="1:6" x14ac:dyDescent="0.3">
      <c r="A57" s="1" t="s">
        <v>57</v>
      </c>
      <c r="B57" s="35"/>
      <c r="D57" s="25"/>
      <c r="E57" s="25"/>
      <c r="F57" s="25"/>
    </row>
    <row r="58" spans="1:6" x14ac:dyDescent="0.3">
      <c r="A58" s="5" t="s">
        <v>58</v>
      </c>
    </row>
    <row r="59" spans="1:6" x14ac:dyDescent="0.3">
      <c r="A59" s="1" t="s">
        <v>59</v>
      </c>
      <c r="B59" s="8"/>
      <c r="D59" s="25"/>
      <c r="E59" s="25"/>
      <c r="F59" s="25"/>
    </row>
    <row r="60" spans="1:6" x14ac:dyDescent="0.3">
      <c r="A60" s="1" t="s">
        <v>60</v>
      </c>
      <c r="B60" s="8"/>
      <c r="D60" s="25"/>
      <c r="E60" s="25"/>
      <c r="F60" s="25"/>
    </row>
    <row r="61" spans="1:6" x14ac:dyDescent="0.3">
      <c r="A61" s="1" t="s">
        <v>61</v>
      </c>
      <c r="B61" s="8"/>
      <c r="C61" t="s">
        <v>17</v>
      </c>
      <c r="D61" s="25"/>
      <c r="E61" s="25"/>
      <c r="F61" s="25"/>
    </row>
    <row r="62" spans="1:6" x14ac:dyDescent="0.3">
      <c r="A62" s="1" t="s">
        <v>210</v>
      </c>
      <c r="B62" s="8"/>
      <c r="D62" s="25"/>
      <c r="E62" s="25"/>
      <c r="F62" s="25"/>
    </row>
    <row r="63" spans="1:6" x14ac:dyDescent="0.3">
      <c r="A63" s="1" t="s">
        <v>63</v>
      </c>
      <c r="B63" s="8"/>
      <c r="C63" t="s">
        <v>17</v>
      </c>
      <c r="D63" s="25"/>
      <c r="E63" s="25"/>
      <c r="F63" s="25"/>
    </row>
    <row r="64" spans="1:6" x14ac:dyDescent="0.3">
      <c r="A64" s="1" t="s">
        <v>64</v>
      </c>
      <c r="B64" s="8"/>
      <c r="C64" t="s">
        <v>65</v>
      </c>
      <c r="D64" s="25"/>
      <c r="E64" s="25"/>
      <c r="F64" s="25"/>
    </row>
    <row r="65" spans="1:6" x14ac:dyDescent="0.3">
      <c r="A65" s="1" t="s">
        <v>66</v>
      </c>
      <c r="B65" s="8"/>
      <c r="D65" s="25"/>
      <c r="E65" s="25"/>
      <c r="F65" s="25"/>
    </row>
    <row r="66" spans="1:6" x14ac:dyDescent="0.3">
      <c r="A66" s="1" t="s">
        <v>67</v>
      </c>
      <c r="B66" s="8"/>
      <c r="D66" s="25"/>
      <c r="E66" s="25"/>
      <c r="F66" s="25"/>
    </row>
    <row r="67" spans="1:6" x14ac:dyDescent="0.3">
      <c r="A67" s="1" t="s">
        <v>68</v>
      </c>
      <c r="B67" s="8"/>
      <c r="C67" t="s">
        <v>17</v>
      </c>
      <c r="D67" s="25"/>
      <c r="E67" s="25"/>
      <c r="F67" s="25"/>
    </row>
    <row r="68" spans="1:6" x14ac:dyDescent="0.3">
      <c r="A68" s="1" t="s">
        <v>69</v>
      </c>
      <c r="B68" s="8"/>
      <c r="C68" t="s">
        <v>65</v>
      </c>
      <c r="D68" s="25"/>
      <c r="E68" s="25"/>
      <c r="F68" s="25"/>
    </row>
    <row r="69" spans="1:6" x14ac:dyDescent="0.3">
      <c r="A69" s="1" t="s">
        <v>70</v>
      </c>
      <c r="B69" s="8"/>
      <c r="D69" s="25"/>
      <c r="E69" s="25"/>
      <c r="F69" s="25"/>
    </row>
    <row r="70" spans="1:6" x14ac:dyDescent="0.3">
      <c r="A70" s="1"/>
    </row>
    <row r="71" spans="1:6" x14ac:dyDescent="0.3">
      <c r="A71" s="1"/>
    </row>
    <row r="72" spans="1:6" x14ac:dyDescent="0.3">
      <c r="A72" s="4" t="s">
        <v>71</v>
      </c>
    </row>
    <row r="73" spans="1:6" x14ac:dyDescent="0.3">
      <c r="A73" s="1" t="s">
        <v>46</v>
      </c>
      <c r="B73" s="44"/>
      <c r="C73" s="45"/>
      <c r="D73" s="45"/>
      <c r="E73" s="46"/>
      <c r="F73" s="2"/>
    </row>
    <row r="74" spans="1:6" x14ac:dyDescent="0.3">
      <c r="A74" s="1" t="s">
        <v>47</v>
      </c>
      <c r="B74" s="44"/>
      <c r="C74" s="45"/>
      <c r="D74" s="45"/>
      <c r="E74" s="46"/>
      <c r="F74" s="2"/>
    </row>
    <row r="75" spans="1:6" x14ac:dyDescent="0.3">
      <c r="A75" s="1" t="s">
        <v>48</v>
      </c>
      <c r="B75" s="35"/>
    </row>
    <row r="76" spans="1:6" x14ac:dyDescent="0.3">
      <c r="A76" s="1" t="s">
        <v>12</v>
      </c>
      <c r="B76" s="8"/>
      <c r="C76" s="10" t="s">
        <v>13</v>
      </c>
      <c r="E76" s="25"/>
      <c r="F76" s="25"/>
    </row>
    <row r="77" spans="1:6" x14ac:dyDescent="0.3">
      <c r="A77" s="26"/>
      <c r="B77" s="26"/>
      <c r="C77" s="26"/>
      <c r="D77" s="26"/>
      <c r="E77" s="26"/>
      <c r="F77" s="26"/>
    </row>
    <row r="79" spans="1:6" x14ac:dyDescent="0.3">
      <c r="A79" s="4" t="s">
        <v>72</v>
      </c>
      <c r="E79" s="25"/>
      <c r="F79" s="25"/>
    </row>
    <row r="80" spans="1:6" x14ac:dyDescent="0.3">
      <c r="A80" s="1" t="s">
        <v>46</v>
      </c>
      <c r="B80" s="44"/>
      <c r="C80" s="45"/>
      <c r="D80" s="45"/>
      <c r="E80" s="46"/>
      <c r="F80" s="25"/>
    </row>
    <row r="81" spans="1:6" x14ac:dyDescent="0.3">
      <c r="A81" s="1" t="s">
        <v>47</v>
      </c>
      <c r="B81" s="44"/>
      <c r="C81" s="45"/>
      <c r="D81" s="45"/>
      <c r="E81" s="46"/>
      <c r="F81" s="25"/>
    </row>
    <row r="82" spans="1:6" x14ac:dyDescent="0.3">
      <c r="A82" s="1" t="s">
        <v>48</v>
      </c>
      <c r="B82" s="40"/>
      <c r="F82" s="25"/>
    </row>
    <row r="83" spans="1:6" x14ac:dyDescent="0.3">
      <c r="A83" s="1" t="s">
        <v>73</v>
      </c>
      <c r="B83" s="8"/>
      <c r="C83" s="10" t="s">
        <v>13</v>
      </c>
      <c r="F83" s="25"/>
    </row>
    <row r="84" spans="1:6" x14ac:dyDescent="0.3">
      <c r="A84" s="1" t="s">
        <v>74</v>
      </c>
      <c r="B84" s="8"/>
      <c r="E84" s="25"/>
      <c r="F84" s="25"/>
    </row>
    <row r="85" spans="1:6" x14ac:dyDescent="0.3">
      <c r="A85" s="1" t="s">
        <v>75</v>
      </c>
      <c r="B85" s="8"/>
      <c r="C85" t="s">
        <v>76</v>
      </c>
      <c r="E85" s="25"/>
      <c r="F85" s="25"/>
    </row>
    <row r="86" spans="1:6" x14ac:dyDescent="0.3">
      <c r="A86" s="1" t="s">
        <v>77</v>
      </c>
      <c r="B86" s="8"/>
      <c r="C86" t="s">
        <v>78</v>
      </c>
      <c r="E86" s="25"/>
      <c r="F86" s="25"/>
    </row>
    <row r="87" spans="1:6" x14ac:dyDescent="0.3">
      <c r="A87" s="1"/>
      <c r="E87" s="25"/>
      <c r="F87" s="25"/>
    </row>
    <row r="88" spans="1:6" x14ac:dyDescent="0.3">
      <c r="A88" s="1"/>
      <c r="D88" s="1"/>
    </row>
    <row r="89" spans="1:6" x14ac:dyDescent="0.3">
      <c r="A89" s="4" t="s">
        <v>79</v>
      </c>
      <c r="B89" s="1"/>
    </row>
    <row r="90" spans="1:6" x14ac:dyDescent="0.3">
      <c r="A90" s="1" t="s">
        <v>46</v>
      </c>
      <c r="B90" s="44"/>
      <c r="C90" s="45"/>
      <c r="D90" s="45"/>
      <c r="E90" s="46"/>
      <c r="F90" s="2"/>
    </row>
    <row r="91" spans="1:6" x14ac:dyDescent="0.3">
      <c r="A91" s="1" t="s">
        <v>47</v>
      </c>
      <c r="B91" s="44"/>
      <c r="C91" s="45"/>
      <c r="D91" s="45"/>
      <c r="E91" s="46"/>
      <c r="F91" s="2"/>
    </row>
    <row r="92" spans="1:6" x14ac:dyDescent="0.3">
      <c r="A92" s="1" t="s">
        <v>48</v>
      </c>
      <c r="B92" s="41"/>
    </row>
    <row r="93" spans="1:6" x14ac:dyDescent="0.3">
      <c r="A93" s="1" t="s">
        <v>12</v>
      </c>
      <c r="B93" s="8"/>
      <c r="C93" s="10" t="s">
        <v>13</v>
      </c>
    </row>
    <row r="94" spans="1:6" x14ac:dyDescent="0.3">
      <c r="A94" s="1" t="s">
        <v>80</v>
      </c>
      <c r="B94" s="8"/>
      <c r="C94" t="s">
        <v>17</v>
      </c>
    </row>
    <row r="95" spans="1:6" x14ac:dyDescent="0.3">
      <c r="A95" s="1" t="s">
        <v>81</v>
      </c>
      <c r="B95" s="8"/>
      <c r="C95" t="s">
        <v>17</v>
      </c>
    </row>
    <row r="96" spans="1:6" x14ac:dyDescent="0.3">
      <c r="A96" s="25"/>
      <c r="B96" s="25"/>
      <c r="C96" s="25"/>
      <c r="D96" s="25"/>
      <c r="E96" s="25"/>
      <c r="F96" s="25"/>
    </row>
    <row r="97" spans="1:7" x14ac:dyDescent="0.3">
      <c r="A97" s="25"/>
      <c r="B97" s="25"/>
      <c r="C97" s="25"/>
      <c r="D97" s="25"/>
      <c r="E97" s="25"/>
      <c r="F97" s="25"/>
    </row>
    <row r="98" spans="1:7" x14ac:dyDescent="0.3">
      <c r="A98" s="4" t="s">
        <v>82</v>
      </c>
      <c r="B98" s="1"/>
    </row>
    <row r="99" spans="1:7" x14ac:dyDescent="0.3">
      <c r="A99" s="1" t="s">
        <v>46</v>
      </c>
      <c r="B99" s="44"/>
      <c r="C99" s="45"/>
      <c r="D99" s="45"/>
      <c r="E99" s="46"/>
      <c r="F99" s="2"/>
    </row>
    <row r="100" spans="1:7" x14ac:dyDescent="0.3">
      <c r="A100" s="1" t="s">
        <v>83</v>
      </c>
      <c r="B100" s="44"/>
      <c r="C100" s="45"/>
      <c r="D100" s="45"/>
      <c r="E100" s="46"/>
      <c r="F100" s="2"/>
    </row>
    <row r="101" spans="1:7" x14ac:dyDescent="0.3">
      <c r="A101" s="1" t="s">
        <v>84</v>
      </c>
      <c r="B101" s="37"/>
    </row>
    <row r="102" spans="1:7" x14ac:dyDescent="0.3">
      <c r="A102" s="1" t="s">
        <v>12</v>
      </c>
      <c r="B102" s="12"/>
      <c r="C102" s="10" t="s">
        <v>13</v>
      </c>
    </row>
    <row r="103" spans="1:7" x14ac:dyDescent="0.3">
      <c r="A103" s="1" t="s">
        <v>85</v>
      </c>
      <c r="B103" s="8"/>
      <c r="C103" t="s">
        <v>86</v>
      </c>
    </row>
    <row r="104" spans="1:7" x14ac:dyDescent="0.3">
      <c r="A104" s="1" t="s">
        <v>87</v>
      </c>
      <c r="B104" s="1" t="s">
        <v>88</v>
      </c>
      <c r="C104" s="8"/>
      <c r="D104" t="s">
        <v>89</v>
      </c>
      <c r="E104" s="1" t="s">
        <v>90</v>
      </c>
      <c r="F104" s="8"/>
      <c r="G104" t="s">
        <v>89</v>
      </c>
    </row>
    <row r="105" spans="1:7" x14ac:dyDescent="0.3">
      <c r="A105" s="1" t="s">
        <v>91</v>
      </c>
      <c r="B105" s="1" t="s">
        <v>88</v>
      </c>
      <c r="C105" s="8"/>
      <c r="D105" t="s">
        <v>89</v>
      </c>
      <c r="E105" s="1" t="s">
        <v>90</v>
      </c>
      <c r="F105" s="8"/>
      <c r="G105" t="s">
        <v>89</v>
      </c>
    </row>
    <row r="106" spans="1:7" x14ac:dyDescent="0.3">
      <c r="A106" s="1"/>
      <c r="E106" s="1"/>
      <c r="F106" s="1"/>
    </row>
    <row r="107" spans="1:7" x14ac:dyDescent="0.3">
      <c r="A107" s="26"/>
      <c r="B107" s="26"/>
      <c r="C107" s="26"/>
      <c r="D107" s="26"/>
      <c r="E107" s="26"/>
      <c r="F107" s="26"/>
    </row>
    <row r="108" spans="1:7" x14ac:dyDescent="0.3">
      <c r="A108" s="4" t="s">
        <v>92</v>
      </c>
      <c r="B108" s="1"/>
    </row>
    <row r="109" spans="1:7" x14ac:dyDescent="0.3">
      <c r="A109" s="1"/>
      <c r="B109" s="22"/>
      <c r="E109" s="1"/>
      <c r="F109" s="1"/>
    </row>
    <row r="110" spans="1:7" x14ac:dyDescent="0.3">
      <c r="A110" s="1"/>
      <c r="B110" s="1"/>
      <c r="F110" s="1"/>
    </row>
    <row r="112" spans="1:7" ht="18" x14ac:dyDescent="0.35">
      <c r="A112" s="21" t="s">
        <v>93</v>
      </c>
      <c r="B112" s="16"/>
      <c r="C112" s="16"/>
      <c r="D112" s="16"/>
      <c r="E112" s="16"/>
      <c r="F112" s="16"/>
      <c r="G112" s="16"/>
    </row>
    <row r="113" spans="1:6" x14ac:dyDescent="0.3">
      <c r="B113" s="1"/>
    </row>
    <row r="114" spans="1:6" x14ac:dyDescent="0.3">
      <c r="A114" s="4" t="s">
        <v>94</v>
      </c>
      <c r="B114" s="1"/>
    </row>
    <row r="115" spans="1:6" x14ac:dyDescent="0.3">
      <c r="A115" s="1" t="s">
        <v>95</v>
      </c>
      <c r="B115" s="44"/>
      <c r="C115" s="45"/>
      <c r="D115" s="45"/>
      <c r="E115" s="46"/>
      <c r="F115" s="2"/>
    </row>
    <row r="116" spans="1:6" x14ac:dyDescent="0.3">
      <c r="A116" s="1" t="s">
        <v>96</v>
      </c>
      <c r="B116" s="44"/>
      <c r="C116" s="45"/>
      <c r="D116" s="45"/>
      <c r="E116" s="46"/>
      <c r="F116" s="2"/>
    </row>
    <row r="117" spans="1:6" x14ac:dyDescent="0.3">
      <c r="A117" s="1" t="s">
        <v>97</v>
      </c>
      <c r="B117" s="41"/>
      <c r="C117" t="s">
        <v>89</v>
      </c>
    </row>
    <row r="118" spans="1:6" x14ac:dyDescent="0.3">
      <c r="A118" s="1" t="s">
        <v>98</v>
      </c>
      <c r="B118" s="8"/>
    </row>
    <row r="119" spans="1:6" x14ac:dyDescent="0.3">
      <c r="A119" s="5" t="s">
        <v>99</v>
      </c>
    </row>
    <row r="120" spans="1:6" x14ac:dyDescent="0.3">
      <c r="A120" s="1" t="s">
        <v>100</v>
      </c>
      <c r="B120" s="8"/>
    </row>
    <row r="121" spans="1:6" x14ac:dyDescent="0.3">
      <c r="A121" s="1" t="s">
        <v>101</v>
      </c>
      <c r="B121" s="8"/>
      <c r="C121" t="s">
        <v>17</v>
      </c>
    </row>
    <row r="122" spans="1:6" x14ac:dyDescent="0.3">
      <c r="A122" s="1" t="s">
        <v>102</v>
      </c>
      <c r="B122" s="8"/>
      <c r="C122" t="s">
        <v>17</v>
      </c>
    </row>
    <row r="123" spans="1:6" x14ac:dyDescent="0.3">
      <c r="A123" s="1" t="s">
        <v>103</v>
      </c>
      <c r="B123" s="8"/>
    </row>
    <row r="124" spans="1:6" x14ac:dyDescent="0.3">
      <c r="A124" s="1" t="s">
        <v>101</v>
      </c>
      <c r="B124" s="8"/>
      <c r="C124" t="s">
        <v>17</v>
      </c>
    </row>
    <row r="125" spans="1:6" x14ac:dyDescent="0.3">
      <c r="A125" s="1" t="s">
        <v>102</v>
      </c>
      <c r="B125" s="8"/>
      <c r="C125" t="s">
        <v>17</v>
      </c>
    </row>
    <row r="126" spans="1:6" x14ac:dyDescent="0.3">
      <c r="A126" s="1" t="s">
        <v>104</v>
      </c>
      <c r="B126" s="8"/>
    </row>
    <row r="127" spans="1:6" x14ac:dyDescent="0.3">
      <c r="A127" s="1" t="s">
        <v>105</v>
      </c>
      <c r="B127" s="8"/>
      <c r="C127" t="s">
        <v>17</v>
      </c>
    </row>
    <row r="128" spans="1:6" x14ac:dyDescent="0.3">
      <c r="A128" s="1" t="s">
        <v>106</v>
      </c>
      <c r="B128" s="8"/>
      <c r="C128" t="s">
        <v>17</v>
      </c>
    </row>
    <row r="129" spans="1:6" x14ac:dyDescent="0.3">
      <c r="A129" s="1" t="s">
        <v>107</v>
      </c>
      <c r="B129" s="8"/>
      <c r="C129" t="s">
        <v>89</v>
      </c>
    </row>
    <row r="130" spans="1:6" x14ac:dyDescent="0.3">
      <c r="A130" s="1" t="s">
        <v>108</v>
      </c>
      <c r="B130" s="44"/>
      <c r="C130" s="45"/>
      <c r="D130" s="45"/>
      <c r="E130" s="45"/>
      <c r="F130" s="46"/>
    </row>
    <row r="131" spans="1:6" x14ac:dyDescent="0.3">
      <c r="A131" s="1" t="s">
        <v>109</v>
      </c>
      <c r="B131" s="44"/>
      <c r="C131" s="45"/>
      <c r="D131" s="45"/>
      <c r="E131" s="45"/>
      <c r="F131" s="46"/>
    </row>
    <row r="132" spans="1:6" x14ac:dyDescent="0.3">
      <c r="A132" s="1" t="s">
        <v>110</v>
      </c>
      <c r="B132" s="44"/>
      <c r="C132" s="45"/>
      <c r="D132" s="45"/>
      <c r="E132" s="45"/>
      <c r="F132" s="46"/>
    </row>
    <row r="133" spans="1:6" x14ac:dyDescent="0.3">
      <c r="A133" s="1" t="s">
        <v>111</v>
      </c>
      <c r="B133" s="44"/>
      <c r="C133" s="45"/>
      <c r="D133" s="45"/>
      <c r="E133" s="45"/>
      <c r="F133" s="46"/>
    </row>
    <row r="134" spans="1:6" x14ac:dyDescent="0.3">
      <c r="A134" s="1" t="s">
        <v>112</v>
      </c>
      <c r="B134" s="44"/>
      <c r="C134" s="45"/>
      <c r="D134" s="45"/>
      <c r="E134" s="45"/>
      <c r="F134" s="46"/>
    </row>
    <row r="135" spans="1:6" x14ac:dyDescent="0.3">
      <c r="A135" s="25"/>
      <c r="B135" s="25"/>
      <c r="C135" s="25"/>
      <c r="D135" s="25"/>
      <c r="E135" s="25"/>
      <c r="F135" s="25"/>
    </row>
    <row r="137" spans="1:6" x14ac:dyDescent="0.3">
      <c r="A137" s="4" t="s">
        <v>113</v>
      </c>
      <c r="B137" s="1"/>
    </row>
    <row r="138" spans="1:6" x14ac:dyDescent="0.3">
      <c r="A138" s="1" t="s">
        <v>95</v>
      </c>
      <c r="B138" s="50"/>
      <c r="C138" s="51"/>
      <c r="D138" s="51"/>
      <c r="E138" s="51"/>
      <c r="F138" s="52"/>
    </row>
    <row r="139" spans="1:6" x14ac:dyDescent="0.3">
      <c r="A139" s="1" t="s">
        <v>96</v>
      </c>
      <c r="B139" s="50"/>
      <c r="C139" s="51"/>
      <c r="D139" s="51"/>
      <c r="E139" s="51"/>
      <c r="F139" s="52"/>
    </row>
    <row r="140" spans="1:6" x14ac:dyDescent="0.3">
      <c r="A140" s="1" t="s">
        <v>114</v>
      </c>
      <c r="B140" s="50"/>
      <c r="C140" s="51"/>
      <c r="D140" s="51"/>
      <c r="E140" s="51"/>
      <c r="F140" s="52"/>
    </row>
    <row r="141" spans="1:6" x14ac:dyDescent="0.3">
      <c r="A141" s="1" t="s">
        <v>115</v>
      </c>
      <c r="B141" s="50"/>
      <c r="C141" s="51"/>
      <c r="D141" s="51"/>
      <c r="E141" s="51"/>
      <c r="F141" s="52"/>
    </row>
    <row r="142" spans="1:6" x14ac:dyDescent="0.3">
      <c r="A142" s="1" t="s">
        <v>116</v>
      </c>
      <c r="B142" s="8"/>
      <c r="C142" t="s">
        <v>117</v>
      </c>
    </row>
    <row r="143" spans="1:6" x14ac:dyDescent="0.3">
      <c r="A143" s="1" t="s">
        <v>118</v>
      </c>
      <c r="B143" s="8"/>
      <c r="C143" t="s">
        <v>17</v>
      </c>
    </row>
    <row r="144" spans="1:6" x14ac:dyDescent="0.3">
      <c r="A144" s="1" t="s">
        <v>119</v>
      </c>
      <c r="B144" s="8"/>
      <c r="C144" t="s">
        <v>17</v>
      </c>
    </row>
    <row r="145" spans="1:9" ht="15" customHeight="1" x14ac:dyDescent="0.3">
      <c r="A145" s="1" t="s">
        <v>120</v>
      </c>
      <c r="B145" s="8"/>
      <c r="C145" t="s">
        <v>17</v>
      </c>
    </row>
    <row r="146" spans="1:9" ht="15" customHeight="1" x14ac:dyDescent="0.3">
      <c r="A146" s="1" t="s">
        <v>121</v>
      </c>
      <c r="B146" s="8"/>
      <c r="C146" t="s">
        <v>33</v>
      </c>
      <c r="D146" s="10" t="s">
        <v>122</v>
      </c>
    </row>
    <row r="147" spans="1:9" ht="15" customHeight="1" x14ac:dyDescent="0.3">
      <c r="A147" s="1" t="s">
        <v>123</v>
      </c>
      <c r="B147" s="8"/>
      <c r="C147" t="s">
        <v>33</v>
      </c>
      <c r="D147" s="10" t="s">
        <v>124</v>
      </c>
    </row>
    <row r="148" spans="1:9" ht="15" customHeight="1" x14ac:dyDescent="0.3">
      <c r="A148" s="1"/>
      <c r="D148" s="10"/>
    </row>
    <row r="149" spans="1:9" ht="15" customHeight="1" x14ac:dyDescent="0.3">
      <c r="A149" s="1"/>
      <c r="D149" s="10"/>
    </row>
    <row r="150" spans="1:9" x14ac:dyDescent="0.3">
      <c r="A150" s="4" t="s">
        <v>125</v>
      </c>
    </row>
    <row r="151" spans="1:9" x14ac:dyDescent="0.3">
      <c r="A151" s="1" t="s">
        <v>95</v>
      </c>
      <c r="B151" s="50"/>
      <c r="C151" s="51"/>
      <c r="D151" s="51"/>
      <c r="E151" s="51"/>
      <c r="F151" s="52"/>
    </row>
    <row r="152" spans="1:9" x14ac:dyDescent="0.3">
      <c r="A152" s="1" t="s">
        <v>96</v>
      </c>
      <c r="B152" s="50"/>
      <c r="C152" s="51"/>
      <c r="D152" s="51"/>
      <c r="E152" s="51"/>
      <c r="F152" s="52"/>
    </row>
    <row r="153" spans="1:9" x14ac:dyDescent="0.3">
      <c r="A153" s="1" t="s">
        <v>126</v>
      </c>
      <c r="B153" s="50"/>
      <c r="C153" s="51"/>
      <c r="D153" s="51"/>
      <c r="E153" s="51"/>
      <c r="F153" s="52"/>
    </row>
    <row r="154" spans="1:9" x14ac:dyDescent="0.3">
      <c r="A154" s="1" t="s">
        <v>127</v>
      </c>
      <c r="B154" s="50"/>
      <c r="C154" s="51"/>
      <c r="D154" s="51"/>
      <c r="E154" s="51"/>
      <c r="F154" s="52"/>
    </row>
    <row r="155" spans="1:9" x14ac:dyDescent="0.3">
      <c r="A155" s="1" t="s">
        <v>116</v>
      </c>
      <c r="B155" s="8"/>
      <c r="C155" t="s">
        <v>117</v>
      </c>
      <c r="E155" s="31" t="s">
        <v>128</v>
      </c>
    </row>
    <row r="156" spans="1:9" x14ac:dyDescent="0.3">
      <c r="A156" s="1" t="s">
        <v>129</v>
      </c>
      <c r="B156" s="8"/>
      <c r="C156" t="s">
        <v>17</v>
      </c>
      <c r="E156" s="8"/>
      <c r="F156" s="10" t="s">
        <v>130</v>
      </c>
      <c r="G156" s="32" t="s">
        <v>131</v>
      </c>
      <c r="H156" s="33">
        <f>E156/25.4</f>
        <v>0</v>
      </c>
      <c r="I156" s="10" t="s">
        <v>17</v>
      </c>
    </row>
    <row r="157" spans="1:9" x14ac:dyDescent="0.3">
      <c r="A157" s="1" t="s">
        <v>118</v>
      </c>
      <c r="B157" s="8"/>
      <c r="C157" t="s">
        <v>17</v>
      </c>
      <c r="E157" s="31" t="s">
        <v>132</v>
      </c>
    </row>
    <row r="158" spans="1:9" x14ac:dyDescent="0.3">
      <c r="A158" s="1" t="s">
        <v>119</v>
      </c>
      <c r="B158" s="8"/>
      <c r="C158" t="s">
        <v>17</v>
      </c>
      <c r="E158" s="8"/>
      <c r="F158" s="10" t="s">
        <v>133</v>
      </c>
      <c r="G158" s="32" t="s">
        <v>131</v>
      </c>
      <c r="H158" s="33">
        <f>E158*2.205</f>
        <v>0</v>
      </c>
      <c r="I158" s="10" t="s">
        <v>134</v>
      </c>
    </row>
    <row r="159" spans="1:9" x14ac:dyDescent="0.3">
      <c r="E159" s="10" t="s">
        <v>135</v>
      </c>
    </row>
    <row r="160" spans="1:9" x14ac:dyDescent="0.3">
      <c r="E160" s="34"/>
      <c r="F160" s="10" t="s">
        <v>137</v>
      </c>
      <c r="G160" s="32" t="s">
        <v>131</v>
      </c>
      <c r="H160" s="33">
        <f>E160*0.02089</f>
        <v>0</v>
      </c>
      <c r="I160" s="10" t="s">
        <v>33</v>
      </c>
    </row>
    <row r="161" spans="1:9" x14ac:dyDescent="0.3">
      <c r="G161" s="32"/>
      <c r="H161" s="33"/>
      <c r="I161" s="10"/>
    </row>
    <row r="163" spans="1:9" x14ac:dyDescent="0.3">
      <c r="A163" s="4" t="s">
        <v>136</v>
      </c>
      <c r="E163" s="10"/>
      <c r="F163" s="10"/>
    </row>
    <row r="164" spans="1:9" x14ac:dyDescent="0.3">
      <c r="A164" s="1" t="s">
        <v>138</v>
      </c>
      <c r="B164" t="s">
        <v>139</v>
      </c>
    </row>
    <row r="165" spans="1:9" x14ac:dyDescent="0.3">
      <c r="A165" s="1" t="s">
        <v>95</v>
      </c>
      <c r="B165" s="50"/>
      <c r="C165" s="51"/>
      <c r="D165" s="51"/>
      <c r="E165" s="51"/>
      <c r="F165" s="52"/>
    </row>
    <row r="166" spans="1:9" x14ac:dyDescent="0.3">
      <c r="A166" s="1" t="s">
        <v>96</v>
      </c>
      <c r="B166" s="47"/>
      <c r="C166" s="48"/>
      <c r="D166" s="48"/>
      <c r="E166" s="48"/>
      <c r="F166" s="49"/>
    </row>
    <row r="167" spans="1:9" x14ac:dyDescent="0.3">
      <c r="A167" s="1" t="s">
        <v>140</v>
      </c>
      <c r="B167" s="47"/>
      <c r="C167" s="48"/>
      <c r="D167" s="48"/>
      <c r="E167" s="48"/>
      <c r="F167" s="49"/>
    </row>
    <row r="168" spans="1:9" x14ac:dyDescent="0.3">
      <c r="A168" s="1" t="s">
        <v>141</v>
      </c>
      <c r="B168" s="47"/>
      <c r="C168" s="48"/>
      <c r="D168" s="48"/>
      <c r="E168" s="48"/>
      <c r="F168" s="49"/>
    </row>
    <row r="169" spans="1:9" x14ac:dyDescent="0.3">
      <c r="A169" s="1" t="s">
        <v>142</v>
      </c>
      <c r="B169" t="s">
        <v>143</v>
      </c>
    </row>
    <row r="170" spans="1:9" x14ac:dyDescent="0.3">
      <c r="A170" s="1" t="s">
        <v>95</v>
      </c>
      <c r="B170" s="47"/>
      <c r="C170" s="48"/>
      <c r="D170" s="48"/>
      <c r="E170" s="48"/>
      <c r="F170" s="49"/>
    </row>
    <row r="171" spans="1:9" x14ac:dyDescent="0.3">
      <c r="A171" s="1" t="s">
        <v>96</v>
      </c>
      <c r="B171" s="47"/>
      <c r="C171" s="48"/>
      <c r="D171" s="48"/>
      <c r="E171" s="48"/>
      <c r="F171" s="49"/>
    </row>
    <row r="172" spans="1:9" x14ac:dyDescent="0.3">
      <c r="A172" s="1" t="s">
        <v>140</v>
      </c>
      <c r="B172" s="47"/>
      <c r="C172" s="48"/>
      <c r="D172" s="48"/>
      <c r="E172" s="48"/>
      <c r="F172" s="49"/>
    </row>
    <row r="173" spans="1:9" x14ac:dyDescent="0.3">
      <c r="A173" s="1" t="s">
        <v>141</v>
      </c>
      <c r="B173" s="47"/>
      <c r="C173" s="48"/>
      <c r="D173" s="48"/>
      <c r="E173" s="48"/>
      <c r="F173" s="49"/>
    </row>
    <row r="174" spans="1:9" x14ac:dyDescent="0.3">
      <c r="A174" s="1" t="s">
        <v>144</v>
      </c>
      <c r="B174" t="s">
        <v>143</v>
      </c>
    </row>
    <row r="175" spans="1:9" x14ac:dyDescent="0.3">
      <c r="A175" s="1" t="s">
        <v>145</v>
      </c>
      <c r="C175" t="s">
        <v>44</v>
      </c>
    </row>
    <row r="176" spans="1:9" x14ac:dyDescent="0.3">
      <c r="A176" s="1" t="s">
        <v>146</v>
      </c>
      <c r="B176" s="47"/>
      <c r="C176" s="48"/>
      <c r="D176" s="48"/>
      <c r="E176" s="48"/>
      <c r="F176" s="49"/>
    </row>
    <row r="177" spans="1:6" x14ac:dyDescent="0.3">
      <c r="A177" s="1" t="s">
        <v>147</v>
      </c>
      <c r="B177" t="s">
        <v>143</v>
      </c>
    </row>
    <row r="178" spans="1:6" x14ac:dyDescent="0.3">
      <c r="A178" s="1" t="s">
        <v>148</v>
      </c>
      <c r="B178" s="47"/>
      <c r="C178" s="48"/>
      <c r="D178" s="48"/>
      <c r="E178" s="48"/>
      <c r="F178" s="49"/>
    </row>
    <row r="179" spans="1:6" x14ac:dyDescent="0.3">
      <c r="A179" s="25"/>
      <c r="B179" s="25"/>
      <c r="C179" s="25"/>
      <c r="D179" s="25"/>
      <c r="E179" s="25"/>
      <c r="F179" s="25"/>
    </row>
    <row r="181" spans="1:6" x14ac:dyDescent="0.3">
      <c r="A181" s="30"/>
    </row>
    <row r="182" spans="1:6" x14ac:dyDescent="0.3">
      <c r="A182" s="1"/>
    </row>
  </sheetData>
  <mergeCells count="42">
    <mergeCell ref="B81:E81"/>
    <mergeCell ref="B115:E115"/>
    <mergeCell ref="B152:F152"/>
    <mergeCell ref="B153:F153"/>
    <mergeCell ref="B154:F154"/>
    <mergeCell ref="B138:F138"/>
    <mergeCell ref="B139:F139"/>
    <mergeCell ref="B116:E116"/>
    <mergeCell ref="B130:F130"/>
    <mergeCell ref="B131:F131"/>
    <mergeCell ref="B132:F132"/>
    <mergeCell ref="B7:E7"/>
    <mergeCell ref="B8:E8"/>
    <mergeCell ref="B9:E9"/>
    <mergeCell ref="B100:E100"/>
    <mergeCell ref="B30:E30"/>
    <mergeCell ref="B31:C31"/>
    <mergeCell ref="B46:E46"/>
    <mergeCell ref="B47:E47"/>
    <mergeCell ref="B90:E90"/>
    <mergeCell ref="B91:E91"/>
    <mergeCell ref="B99:E99"/>
    <mergeCell ref="B73:E73"/>
    <mergeCell ref="B74:E74"/>
    <mergeCell ref="B15:E15"/>
    <mergeCell ref="D38:E41"/>
    <mergeCell ref="B80:E80"/>
    <mergeCell ref="B173:F173"/>
    <mergeCell ref="B178:F178"/>
    <mergeCell ref="B176:F176"/>
    <mergeCell ref="B140:F140"/>
    <mergeCell ref="B141:F141"/>
    <mergeCell ref="B151:F151"/>
    <mergeCell ref="B166:F166"/>
    <mergeCell ref="B168:F168"/>
    <mergeCell ref="B165:F165"/>
    <mergeCell ref="B167:F167"/>
    <mergeCell ref="B133:F133"/>
    <mergeCell ref="B134:F134"/>
    <mergeCell ref="B170:F170"/>
    <mergeCell ref="B171:F171"/>
    <mergeCell ref="B172:F172"/>
  </mergeCells>
  <pageMargins left="0.7" right="0.7" top="0.75" bottom="0.75" header="0.3" footer="0.3"/>
  <pageSetup scale="85" orientation="portrait" r:id="rId1"/>
  <headerFooter>
    <oddHeader>&amp;L&amp;"-,Bold"&amp;24&amp;K06-017Basis of Design - PV and BESS
&amp;R&amp;G</oddHeader>
    <oddFooter>&amp;LTemplateV20250811&amp;C&amp;F&amp;R&amp;P</oddFooter>
  </headerFooter>
  <rowBreaks count="2" manualBreakCount="2">
    <brk id="43" max="9" man="1"/>
    <brk id="87" max="9" man="1"/>
  </rowBreaks>
  <legacyDrawingHF r:id="rId2"/>
  <extLst>
    <ext xmlns:x14="http://schemas.microsoft.com/office/spreadsheetml/2009/9/main" uri="{CCE6A557-97BC-4b89-ADB6-D9C93CAAB3DF}">
      <x14:dataValidations xmlns:xm="http://schemas.microsoft.com/office/excel/2006/main" disablePrompts="1" count="8">
        <x14:dataValidation type="list" allowBlank="1" showInputMessage="1" showErrorMessage="1" xr:uid="{7B22934F-5E10-4D34-B8FE-3FE12A28B908}">
          <x14:formula1>
            <xm:f>Data!$B$2:$B$5</xm:f>
          </x14:formula1>
          <xm:sqref>B84</xm:sqref>
        </x14:dataValidation>
        <x14:dataValidation type="list" allowBlank="1" showInputMessage="1" showErrorMessage="1" xr:uid="{D0D9E280-3376-4576-BC02-09D795644786}">
          <x14:formula1>
            <xm:f>Data!$C$2:$C$7</xm:f>
          </x14:formula1>
          <xm:sqref>B52</xm:sqref>
        </x14:dataValidation>
        <x14:dataValidation type="list" allowBlank="1" showInputMessage="1" showErrorMessage="1" xr:uid="{F1730F5C-138A-4CDC-99A1-22856D0798C3}">
          <x14:formula1>
            <xm:f>Data!$D$2:$D$7</xm:f>
          </x14:formula1>
          <xm:sqref>B57</xm:sqref>
        </x14:dataValidation>
        <x14:dataValidation type="list" allowBlank="1" showInputMessage="1" showErrorMessage="1" xr:uid="{C9385F3D-9CC5-480F-A864-812A803C58B2}">
          <x14:formula1>
            <xm:f>Data!$E$2:$E$5</xm:f>
          </x14:formula1>
          <xm:sqref>B21:B22</xm:sqref>
        </x14:dataValidation>
        <x14:dataValidation type="list" allowBlank="1" showInputMessage="1" showErrorMessage="1" xr:uid="{755A5876-39E2-4357-B7A8-D752A12D14C5}">
          <x14:formula1>
            <xm:f>Data!$G$2:$G$5</xm:f>
          </x14:formula1>
          <xm:sqref>B28</xm:sqref>
        </x14:dataValidation>
        <x14:dataValidation type="list" allowBlank="1" showInputMessage="1" showErrorMessage="1" xr:uid="{FCB73060-203B-4AD4-A733-F122D79D8746}">
          <x14:formula1>
            <xm:f>Data!$F$2:$F$4</xm:f>
          </x14:formula1>
          <xm:sqref>B29</xm:sqref>
        </x14:dataValidation>
        <x14:dataValidation type="list" allowBlank="1" showInputMessage="1" showErrorMessage="1" xr:uid="{A730F23C-06E6-4CE5-B4A0-AA37B6D86F4D}">
          <x14:formula1>
            <xm:f>Data!$A$2:$A$3</xm:f>
          </x14:formula1>
          <xm:sqref>B66:B67 B118 B62 B88 B59:B60 B164 B169 B177 B174</xm:sqref>
        </x14:dataValidation>
        <x14:dataValidation type="list" allowBlank="1" showInputMessage="1" showErrorMessage="1" xr:uid="{F88ABB42-F17E-4D98-8AB6-773BD63D0B00}">
          <x14:formula1>
            <xm:f>Data!$I$2:$I$4</xm:f>
          </x14:formula1>
          <xm:sqref>B33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3D4F-68BD-49BF-9483-5A5C81C16440}">
  <dimension ref="A1:L111"/>
  <sheetViews>
    <sheetView view="pageLayout" zoomScale="85" zoomScaleNormal="100" zoomScaleSheetLayoutView="70" zoomScalePageLayoutView="85" workbookViewId="0">
      <selection activeCell="C3" sqref="C3"/>
    </sheetView>
  </sheetViews>
  <sheetFormatPr defaultRowHeight="14.4" x14ac:dyDescent="0.3"/>
  <cols>
    <col min="1" max="1" width="31" customWidth="1"/>
    <col min="5" max="5" width="9" customWidth="1"/>
    <col min="6" max="6" width="9.6640625" customWidth="1"/>
  </cols>
  <sheetData>
    <row r="1" spans="1:12" ht="15.6" x14ac:dyDescent="0.3">
      <c r="A1" s="6" t="s">
        <v>201</v>
      </c>
      <c r="B1" s="11"/>
    </row>
    <row r="2" spans="1:12" ht="18" x14ac:dyDescent="0.35">
      <c r="A2" s="15" t="s">
        <v>0</v>
      </c>
      <c r="B2" s="18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2" x14ac:dyDescent="0.3">
      <c r="A4" s="4" t="s">
        <v>1</v>
      </c>
    </row>
    <row r="5" spans="1:12" x14ac:dyDescent="0.3">
      <c r="A5" s="1" t="s">
        <v>2</v>
      </c>
      <c r="B5" s="50"/>
      <c r="C5" s="51"/>
      <c r="D5" s="51"/>
      <c r="E5" s="52"/>
    </row>
    <row r="6" spans="1:12" x14ac:dyDescent="0.3">
      <c r="A6" s="1" t="s">
        <v>3</v>
      </c>
      <c r="B6" s="50"/>
      <c r="C6" s="51"/>
      <c r="D6" s="51"/>
      <c r="E6" s="52"/>
    </row>
    <row r="7" spans="1:12" x14ac:dyDescent="0.3">
      <c r="A7" s="1" t="s">
        <v>4</v>
      </c>
      <c r="B7" s="47"/>
      <c r="C7" s="48"/>
      <c r="D7" s="48"/>
      <c r="E7" s="49"/>
      <c r="F7" s="1" t="s">
        <v>5</v>
      </c>
      <c r="G7" s="8"/>
      <c r="H7" s="1" t="s">
        <v>6</v>
      </c>
      <c r="I7" s="8"/>
    </row>
    <row r="8" spans="1:12" x14ac:dyDescent="0.3">
      <c r="A8" s="1" t="s">
        <v>7</v>
      </c>
      <c r="B8" s="7"/>
      <c r="C8" t="s">
        <v>203</v>
      </c>
      <c r="D8" s="8"/>
      <c r="E8" t="s">
        <v>8</v>
      </c>
    </row>
    <row r="9" spans="1:12" x14ac:dyDescent="0.3">
      <c r="A9" s="1" t="s">
        <v>9</v>
      </c>
      <c r="B9" s="8"/>
      <c r="C9" t="s">
        <v>204</v>
      </c>
      <c r="D9" s="8"/>
      <c r="E9" t="s">
        <v>10</v>
      </c>
    </row>
    <row r="10" spans="1:12" x14ac:dyDescent="0.3">
      <c r="A10" s="1"/>
    </row>
    <row r="11" spans="1:12" x14ac:dyDescent="0.3">
      <c r="A11" s="4" t="s">
        <v>149</v>
      </c>
    </row>
    <row r="12" spans="1:12" x14ac:dyDescent="0.3">
      <c r="A12" s="1" t="s">
        <v>11</v>
      </c>
      <c r="B12" s="47"/>
      <c r="C12" s="48"/>
      <c r="D12" s="48"/>
      <c r="E12" s="49"/>
      <c r="G12" s="1" t="s">
        <v>12</v>
      </c>
      <c r="H12" s="8"/>
      <c r="I12" s="56"/>
      <c r="J12" s="56"/>
      <c r="K12" s="56"/>
    </row>
    <row r="13" spans="1:12" x14ac:dyDescent="0.3">
      <c r="A13" s="1" t="s">
        <v>14</v>
      </c>
      <c r="B13" s="19"/>
      <c r="C13" s="3" t="s">
        <v>15</v>
      </c>
      <c r="D13" s="3"/>
      <c r="E13" s="3"/>
      <c r="G13" s="1"/>
      <c r="I13" s="3"/>
      <c r="J13" s="3"/>
      <c r="K13" s="3"/>
    </row>
    <row r="14" spans="1:12" x14ac:dyDescent="0.3">
      <c r="A14" s="1" t="s">
        <v>16</v>
      </c>
      <c r="B14" s="7"/>
      <c r="C14" t="s">
        <v>17</v>
      </c>
      <c r="G14" s="10" t="s">
        <v>13</v>
      </c>
    </row>
    <row r="15" spans="1:12" x14ac:dyDescent="0.3">
      <c r="A15" s="1" t="s">
        <v>18</v>
      </c>
      <c r="B15" s="7"/>
      <c r="C15" t="s">
        <v>17</v>
      </c>
      <c r="G15" s="10"/>
    </row>
    <row r="16" spans="1:12" x14ac:dyDescent="0.3">
      <c r="A16" s="1" t="s">
        <v>150</v>
      </c>
      <c r="B16" s="8"/>
      <c r="C16" t="s">
        <v>17</v>
      </c>
      <c r="D16" t="s">
        <v>28</v>
      </c>
      <c r="E16" s="47"/>
      <c r="F16" s="48"/>
      <c r="G16" s="48"/>
      <c r="H16" s="48"/>
      <c r="I16" s="48"/>
      <c r="J16" s="48"/>
      <c r="K16" s="49"/>
    </row>
    <row r="17" spans="1:12" x14ac:dyDescent="0.3">
      <c r="A17" s="1" t="s">
        <v>151</v>
      </c>
      <c r="B17" s="8"/>
      <c r="D17" t="s">
        <v>28</v>
      </c>
      <c r="E17" s="47"/>
      <c r="F17" s="48"/>
      <c r="G17" s="48"/>
      <c r="H17" s="48"/>
      <c r="I17" s="48"/>
      <c r="J17" s="48"/>
      <c r="K17" s="49"/>
    </row>
    <row r="19" spans="1:12" ht="18" x14ac:dyDescent="0.35">
      <c r="A19" s="15" t="s">
        <v>152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1" spans="1:12" x14ac:dyDescent="0.3">
      <c r="A21" s="4" t="s">
        <v>23</v>
      </c>
    </row>
    <row r="22" spans="1:12" x14ac:dyDescent="0.3">
      <c r="A22" s="1" t="s">
        <v>24</v>
      </c>
      <c r="B22" s="8"/>
    </row>
    <row r="23" spans="1:12" x14ac:dyDescent="0.3">
      <c r="A23" s="1" t="s">
        <v>25</v>
      </c>
      <c r="B23" s="9"/>
    </row>
    <row r="24" spans="1:12" x14ac:dyDescent="0.3">
      <c r="A24" s="1" t="s">
        <v>26</v>
      </c>
      <c r="B24" s="50"/>
      <c r="C24" s="51"/>
      <c r="D24" s="51"/>
      <c r="E24" s="52"/>
    </row>
    <row r="25" spans="1:12" x14ac:dyDescent="0.3">
      <c r="A25" s="1" t="s">
        <v>27</v>
      </c>
      <c r="B25" s="50"/>
      <c r="C25" s="52"/>
      <c r="D25" s="2"/>
      <c r="E25" s="2"/>
    </row>
    <row r="26" spans="1:12" x14ac:dyDescent="0.3">
      <c r="A26" s="1" t="s">
        <v>29</v>
      </c>
      <c r="B26" s="2"/>
      <c r="C26" s="2" t="s">
        <v>30</v>
      </c>
      <c r="D26" s="2"/>
      <c r="E26" s="2"/>
    </row>
    <row r="27" spans="1:12" x14ac:dyDescent="0.3">
      <c r="A27" s="1" t="s">
        <v>31</v>
      </c>
      <c r="B27" s="2"/>
      <c r="C27" s="2"/>
      <c r="D27" s="2"/>
      <c r="E27" s="2"/>
    </row>
    <row r="28" spans="1:12" x14ac:dyDescent="0.3">
      <c r="A28" s="1" t="s">
        <v>32</v>
      </c>
      <c r="B28" s="2"/>
      <c r="C28" s="2" t="s">
        <v>33</v>
      </c>
      <c r="D28" s="2"/>
      <c r="E28" s="2"/>
    </row>
    <row r="29" spans="1:12" x14ac:dyDescent="0.3">
      <c r="A29" s="1" t="s">
        <v>153</v>
      </c>
      <c r="D29" s="2"/>
      <c r="E29" s="2"/>
    </row>
    <row r="30" spans="1:12" x14ac:dyDescent="0.3">
      <c r="A30" s="1" t="s">
        <v>34</v>
      </c>
      <c r="B30" s="2"/>
      <c r="C30" s="2" t="s">
        <v>17</v>
      </c>
      <c r="D30" s="2"/>
      <c r="E30" s="2"/>
    </row>
    <row r="31" spans="1:12" x14ac:dyDescent="0.3">
      <c r="A31" s="1" t="s">
        <v>35</v>
      </c>
      <c r="B31" s="2"/>
      <c r="C31" s="2" t="s">
        <v>30</v>
      </c>
      <c r="D31" s="2"/>
      <c r="E31" s="2"/>
    </row>
    <row r="32" spans="1:12" x14ac:dyDescent="0.3">
      <c r="A32" s="1" t="s">
        <v>154</v>
      </c>
    </row>
    <row r="33" spans="1:8" x14ac:dyDescent="0.3">
      <c r="A33" s="1"/>
    </row>
    <row r="34" spans="1:8" x14ac:dyDescent="0.3">
      <c r="A34" s="4" t="s">
        <v>45</v>
      </c>
    </row>
    <row r="35" spans="1:8" x14ac:dyDescent="0.3">
      <c r="A35" s="1" t="s">
        <v>46</v>
      </c>
      <c r="B35" s="50"/>
      <c r="C35" s="51"/>
      <c r="D35" s="51"/>
      <c r="E35" s="52"/>
    </row>
    <row r="36" spans="1:8" x14ac:dyDescent="0.3">
      <c r="A36" s="1" t="s">
        <v>47</v>
      </c>
      <c r="B36" s="50"/>
      <c r="C36" s="51"/>
      <c r="D36" s="51"/>
      <c r="E36" s="52"/>
      <c r="G36" s="1" t="s">
        <v>12</v>
      </c>
      <c r="H36" s="8"/>
    </row>
    <row r="37" spans="1:8" x14ac:dyDescent="0.3">
      <c r="A37" s="1" t="s">
        <v>48</v>
      </c>
      <c r="B37" s="8"/>
      <c r="G37" s="10" t="s">
        <v>13</v>
      </c>
    </row>
    <row r="38" spans="1:8" x14ac:dyDescent="0.3">
      <c r="A38" s="1"/>
    </row>
    <row r="39" spans="1:8" x14ac:dyDescent="0.3">
      <c r="A39" s="5" t="s">
        <v>50</v>
      </c>
      <c r="F39" s="5" t="s">
        <v>155</v>
      </c>
    </row>
    <row r="40" spans="1:8" x14ac:dyDescent="0.3">
      <c r="A40" s="1" t="s">
        <v>51</v>
      </c>
      <c r="B40" s="8"/>
      <c r="F40" s="1" t="s">
        <v>74</v>
      </c>
      <c r="G40" s="8"/>
    </row>
    <row r="41" spans="1:8" x14ac:dyDescent="0.3">
      <c r="A41" s="1" t="s">
        <v>52</v>
      </c>
      <c r="B41" s="8"/>
      <c r="C41" t="s">
        <v>53</v>
      </c>
      <c r="F41" s="1" t="s">
        <v>75</v>
      </c>
      <c r="G41" s="8"/>
      <c r="H41" t="s">
        <v>76</v>
      </c>
    </row>
    <row r="42" spans="1:8" x14ac:dyDescent="0.3">
      <c r="A42" s="1" t="s">
        <v>54</v>
      </c>
      <c r="B42" s="8"/>
      <c r="C42" t="s">
        <v>53</v>
      </c>
      <c r="F42" s="1" t="s">
        <v>156</v>
      </c>
      <c r="G42" s="8"/>
      <c r="H42" t="s">
        <v>78</v>
      </c>
    </row>
    <row r="43" spans="1:8" x14ac:dyDescent="0.3">
      <c r="A43" s="1" t="s">
        <v>55</v>
      </c>
      <c r="B43" s="8"/>
      <c r="C43" t="s">
        <v>53</v>
      </c>
    </row>
    <row r="44" spans="1:8" x14ac:dyDescent="0.3">
      <c r="A44" s="1" t="s">
        <v>56</v>
      </c>
      <c r="B44" s="8"/>
      <c r="C44" t="s">
        <v>53</v>
      </c>
    </row>
    <row r="45" spans="1:8" x14ac:dyDescent="0.3">
      <c r="A45" s="1" t="s">
        <v>57</v>
      </c>
      <c r="B45" s="8"/>
    </row>
    <row r="47" spans="1:8" x14ac:dyDescent="0.3">
      <c r="A47" s="5" t="s">
        <v>58</v>
      </c>
    </row>
    <row r="48" spans="1:8" x14ac:dyDescent="0.3">
      <c r="A48" s="1" t="s">
        <v>59</v>
      </c>
      <c r="B48" s="8" t="s">
        <v>139</v>
      </c>
      <c r="F48" s="1" t="s">
        <v>157</v>
      </c>
      <c r="G48" s="8"/>
    </row>
    <row r="49" spans="1:9" x14ac:dyDescent="0.3">
      <c r="A49" s="1" t="s">
        <v>60</v>
      </c>
      <c r="B49" s="8" t="s">
        <v>139</v>
      </c>
      <c r="F49" s="1" t="s">
        <v>49</v>
      </c>
      <c r="G49" s="8"/>
      <c r="H49" t="s">
        <v>44</v>
      </c>
    </row>
    <row r="50" spans="1:9" x14ac:dyDescent="0.3">
      <c r="A50" s="1" t="s">
        <v>61</v>
      </c>
      <c r="B50" s="8"/>
      <c r="C50" t="s">
        <v>17</v>
      </c>
    </row>
    <row r="51" spans="1:9" x14ac:dyDescent="0.3">
      <c r="A51" s="1" t="s">
        <v>62</v>
      </c>
      <c r="B51" s="8" t="s">
        <v>139</v>
      </c>
      <c r="D51" s="1" t="s">
        <v>158</v>
      </c>
      <c r="E51" s="8"/>
      <c r="F51" t="s">
        <v>17</v>
      </c>
      <c r="G51" s="1" t="s">
        <v>159</v>
      </c>
      <c r="H51" s="8"/>
      <c r="I51" t="s">
        <v>65</v>
      </c>
    </row>
    <row r="52" spans="1:9" x14ac:dyDescent="0.3">
      <c r="A52" s="1" t="s">
        <v>67</v>
      </c>
      <c r="B52" s="8" t="s">
        <v>139</v>
      </c>
      <c r="D52" s="1" t="s">
        <v>158</v>
      </c>
      <c r="E52" s="8"/>
      <c r="F52" t="s">
        <v>17</v>
      </c>
      <c r="G52" s="1" t="s">
        <v>159</v>
      </c>
      <c r="H52" s="8"/>
      <c r="I52" t="s">
        <v>65</v>
      </c>
    </row>
    <row r="54" spans="1:9" x14ac:dyDescent="0.3">
      <c r="A54" s="4" t="s">
        <v>79</v>
      </c>
    </row>
    <row r="55" spans="1:9" x14ac:dyDescent="0.3">
      <c r="A55" s="1" t="s">
        <v>46</v>
      </c>
      <c r="B55" s="50"/>
      <c r="C55" s="51"/>
      <c r="D55" s="51"/>
      <c r="E55" s="52"/>
    </row>
    <row r="56" spans="1:9" x14ac:dyDescent="0.3">
      <c r="A56" s="1" t="s">
        <v>47</v>
      </c>
      <c r="B56" s="50"/>
      <c r="C56" s="51"/>
      <c r="D56" s="51"/>
      <c r="E56" s="52"/>
      <c r="G56" s="1" t="s">
        <v>12</v>
      </c>
      <c r="H56" s="8"/>
    </row>
    <row r="57" spans="1:9" x14ac:dyDescent="0.3">
      <c r="A57" s="1" t="s">
        <v>48</v>
      </c>
      <c r="B57" s="7"/>
      <c r="G57" s="10" t="s">
        <v>13</v>
      </c>
    </row>
    <row r="58" spans="1:9" x14ac:dyDescent="0.3">
      <c r="A58" s="1" t="s">
        <v>160</v>
      </c>
      <c r="B58" s="8"/>
      <c r="C58" t="s">
        <v>17</v>
      </c>
    </row>
    <row r="59" spans="1:9" x14ac:dyDescent="0.3">
      <c r="A59" s="1" t="s">
        <v>161</v>
      </c>
      <c r="B59" s="8"/>
      <c r="C59" t="s">
        <v>17</v>
      </c>
    </row>
    <row r="61" spans="1:9" x14ac:dyDescent="0.3">
      <c r="A61" s="4" t="s">
        <v>82</v>
      </c>
    </row>
    <row r="62" spans="1:9" x14ac:dyDescent="0.3">
      <c r="A62" s="1" t="s">
        <v>46</v>
      </c>
      <c r="B62" s="50"/>
      <c r="C62" s="51"/>
      <c r="D62" s="51"/>
      <c r="E62" s="52"/>
    </row>
    <row r="63" spans="1:9" x14ac:dyDescent="0.3">
      <c r="A63" s="1" t="s">
        <v>83</v>
      </c>
      <c r="B63" s="50"/>
      <c r="C63" s="51"/>
      <c r="D63" s="51"/>
      <c r="E63" s="52"/>
      <c r="G63" s="1" t="s">
        <v>12</v>
      </c>
      <c r="H63" s="8"/>
    </row>
    <row r="64" spans="1:9" x14ac:dyDescent="0.3">
      <c r="A64" s="1" t="s">
        <v>84</v>
      </c>
      <c r="B64" s="12"/>
      <c r="G64" s="10" t="s">
        <v>13</v>
      </c>
    </row>
    <row r="65" spans="1:12" x14ac:dyDescent="0.3">
      <c r="A65" s="1" t="s">
        <v>85</v>
      </c>
      <c r="B65" s="8"/>
      <c r="C65" t="s">
        <v>86</v>
      </c>
    </row>
    <row r="67" spans="1:12" x14ac:dyDescent="0.3">
      <c r="A67" s="1" t="s">
        <v>162</v>
      </c>
      <c r="B67" s="1" t="s">
        <v>88</v>
      </c>
      <c r="C67" s="8"/>
      <c r="D67" t="s">
        <v>89</v>
      </c>
      <c r="E67" s="1" t="s">
        <v>90</v>
      </c>
      <c r="F67" s="8"/>
      <c r="G67" t="s">
        <v>89</v>
      </c>
    </row>
    <row r="68" spans="1:12" x14ac:dyDescent="0.3">
      <c r="A68" s="1" t="s">
        <v>163</v>
      </c>
      <c r="B68" s="1" t="s">
        <v>88</v>
      </c>
      <c r="C68" s="8"/>
      <c r="D68" t="s">
        <v>89</v>
      </c>
      <c r="E68" s="1" t="s">
        <v>90</v>
      </c>
      <c r="F68" s="8"/>
      <c r="G68" t="s">
        <v>89</v>
      </c>
    </row>
    <row r="69" spans="1:12" x14ac:dyDescent="0.3">
      <c r="A69" s="1" t="s">
        <v>164</v>
      </c>
      <c r="B69" s="1" t="s">
        <v>88</v>
      </c>
      <c r="C69" s="8"/>
      <c r="D69" t="s">
        <v>89</v>
      </c>
      <c r="E69" s="1" t="s">
        <v>90</v>
      </c>
      <c r="F69" s="8"/>
      <c r="G69" t="s">
        <v>89</v>
      </c>
    </row>
    <row r="78" spans="1:12" ht="18" x14ac:dyDescent="0.35">
      <c r="A78" s="17" t="s">
        <v>93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spans="1:12" x14ac:dyDescent="0.3">
      <c r="A79" s="4" t="s">
        <v>94</v>
      </c>
    </row>
    <row r="80" spans="1:12" x14ac:dyDescent="0.3">
      <c r="A80" s="1" t="s">
        <v>165</v>
      </c>
      <c r="B80" s="55"/>
      <c r="C80" s="55"/>
      <c r="D80" s="55"/>
      <c r="E80" s="55"/>
    </row>
    <row r="81" spans="1:6" x14ac:dyDescent="0.3">
      <c r="A81" s="1" t="s">
        <v>97</v>
      </c>
      <c r="C81" t="s">
        <v>89</v>
      </c>
    </row>
    <row r="82" spans="1:6" x14ac:dyDescent="0.3">
      <c r="A82" s="1" t="s">
        <v>166</v>
      </c>
      <c r="B82" s="55"/>
      <c r="C82" s="55"/>
      <c r="D82" s="55"/>
      <c r="E82" s="55"/>
      <c r="F82" s="55"/>
    </row>
    <row r="92" spans="1:6" x14ac:dyDescent="0.3">
      <c r="A92" s="2" t="s">
        <v>167</v>
      </c>
    </row>
    <row r="93" spans="1:6" x14ac:dyDescent="0.3">
      <c r="A93" s="1" t="s">
        <v>95</v>
      </c>
    </row>
    <row r="98" spans="1:1" x14ac:dyDescent="0.3">
      <c r="A98" t="s">
        <v>113</v>
      </c>
    </row>
    <row r="104" spans="1:1" x14ac:dyDescent="0.3">
      <c r="A104" t="s">
        <v>168</v>
      </c>
    </row>
    <row r="111" spans="1:1" x14ac:dyDescent="0.3">
      <c r="A111" t="s">
        <v>169</v>
      </c>
    </row>
  </sheetData>
  <mergeCells count="17">
    <mergeCell ref="I12:K12"/>
    <mergeCell ref="E16:K16"/>
    <mergeCell ref="B55:E55"/>
    <mergeCell ref="B5:E5"/>
    <mergeCell ref="B6:E6"/>
    <mergeCell ref="B7:E7"/>
    <mergeCell ref="B12:E12"/>
    <mergeCell ref="E17:K17"/>
    <mergeCell ref="B24:E24"/>
    <mergeCell ref="B25:C25"/>
    <mergeCell ref="B35:E35"/>
    <mergeCell ref="B36:E36"/>
    <mergeCell ref="B56:E56"/>
    <mergeCell ref="B62:E62"/>
    <mergeCell ref="B63:E63"/>
    <mergeCell ref="B80:E80"/>
    <mergeCell ref="B82:F82"/>
  </mergeCells>
  <pageMargins left="0.7" right="0.7" top="0.75" bottom="0.75" header="0.3" footer="0.3"/>
  <pageSetup scale="68" orientation="portrait" r:id="rId1"/>
  <headerFooter>
    <oddHeader>&amp;L&amp;"-,Bold"&amp;24&amp;K06-019Basis of Design - PV and BESS
&amp;R&amp;G</oddHeader>
    <oddFooter>&amp;R&amp;P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2BF62C3-F1BF-48AC-85FE-8C7DF6B8600D}">
          <x14:formula1>
            <xm:f>Data!$A$2:$A$3</xm:f>
          </x14:formula1>
          <xm:sqref>B48:B49 G48 B51:B52</xm:sqref>
        </x14:dataValidation>
        <x14:dataValidation type="list" allowBlank="1" showInputMessage="1" showErrorMessage="1" xr:uid="{221B7ED8-3AEC-4B82-93D4-30E057BCD215}">
          <x14:formula1>
            <xm:f>Data!$F$2:$F$4</xm:f>
          </x14:formula1>
          <xm:sqref>B23</xm:sqref>
        </x14:dataValidation>
        <x14:dataValidation type="list" allowBlank="1" showInputMessage="1" showErrorMessage="1" xr:uid="{4501AEC2-F5AA-4D34-95E0-90C6FDA998AC}">
          <x14:formula1>
            <xm:f>Data!$G$2:$G$5</xm:f>
          </x14:formula1>
          <xm:sqref>B22</xm:sqref>
        </x14:dataValidation>
        <x14:dataValidation type="list" allowBlank="1" showInputMessage="1" showErrorMessage="1" xr:uid="{0B0EF96A-DF66-465C-8067-3F3DF75F3D93}">
          <x14:formula1>
            <xm:f>Data!$E$2:$E$5</xm:f>
          </x14:formula1>
          <xm:sqref>B17</xm:sqref>
        </x14:dataValidation>
        <x14:dataValidation type="list" allowBlank="1" showInputMessage="1" showErrorMessage="1" xr:uid="{9C8F97DC-673D-4876-9A69-2A7C092D43DD}">
          <x14:formula1>
            <xm:f>Data!$D$2:$D$7</xm:f>
          </x14:formula1>
          <xm:sqref>B45</xm:sqref>
        </x14:dataValidation>
        <x14:dataValidation type="list" allowBlank="1" showInputMessage="1" showErrorMessage="1" xr:uid="{EE740AAE-CDAD-4526-B5AB-9C438A2466A2}">
          <x14:formula1>
            <xm:f>Data!$C$2:$C$7</xm:f>
          </x14:formula1>
          <xm:sqref>B40</xm:sqref>
        </x14:dataValidation>
        <x14:dataValidation type="list" allowBlank="1" showInputMessage="1" showErrorMessage="1" xr:uid="{39797AF4-A011-4026-B8F9-D40D940DCBD0}">
          <x14:formula1>
            <xm:f>Data!$B$2:$B$5</xm:f>
          </x14:formula1>
          <xm:sqref>G40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71DF-ACF9-487D-B8AF-D7DE6D76A6E4}">
  <dimension ref="A1:J7"/>
  <sheetViews>
    <sheetView workbookViewId="0">
      <selection activeCell="H18" sqref="H18"/>
    </sheetView>
  </sheetViews>
  <sheetFormatPr defaultRowHeight="14.4" x14ac:dyDescent="0.3"/>
  <cols>
    <col min="8" max="8" width="10.44140625" customWidth="1"/>
  </cols>
  <sheetData>
    <row r="1" spans="1:10" s="13" customFormat="1" x14ac:dyDescent="0.3">
      <c r="B1" s="13" t="s">
        <v>170</v>
      </c>
      <c r="C1" s="13" t="s">
        <v>171</v>
      </c>
      <c r="D1" s="13" t="s">
        <v>172</v>
      </c>
      <c r="E1" s="13" t="s">
        <v>173</v>
      </c>
      <c r="F1" s="13" t="s">
        <v>174</v>
      </c>
      <c r="G1" s="13" t="s">
        <v>175</v>
      </c>
      <c r="H1" s="13" t="s">
        <v>176</v>
      </c>
      <c r="I1" s="13" t="s">
        <v>177</v>
      </c>
      <c r="J1" s="13" t="s">
        <v>178</v>
      </c>
    </row>
    <row r="2" spans="1:10" x14ac:dyDescent="0.3">
      <c r="A2" s="3" t="s">
        <v>139</v>
      </c>
      <c r="B2" s="3" t="s">
        <v>179</v>
      </c>
      <c r="C2" s="3" t="s">
        <v>180</v>
      </c>
      <c r="D2" s="3" t="s">
        <v>180</v>
      </c>
      <c r="E2" s="3" t="s">
        <v>181</v>
      </c>
      <c r="F2" s="14" t="s">
        <v>182</v>
      </c>
      <c r="G2" s="3">
        <v>2015</v>
      </c>
      <c r="H2" s="3">
        <v>3.1</v>
      </c>
      <c r="I2" s="3" t="s">
        <v>183</v>
      </c>
      <c r="J2" s="3" t="s">
        <v>184</v>
      </c>
    </row>
    <row r="3" spans="1:10" x14ac:dyDescent="0.3">
      <c r="A3" s="3" t="s">
        <v>143</v>
      </c>
      <c r="B3" s="3" t="s">
        <v>185</v>
      </c>
      <c r="C3" s="3" t="s">
        <v>183</v>
      </c>
      <c r="D3" s="3" t="s">
        <v>183</v>
      </c>
      <c r="E3" s="3" t="s">
        <v>186</v>
      </c>
      <c r="F3" s="14" t="s">
        <v>187</v>
      </c>
      <c r="G3" s="3">
        <v>2018</v>
      </c>
      <c r="H3" s="3">
        <v>5</v>
      </c>
      <c r="I3" s="3" t="s">
        <v>188</v>
      </c>
      <c r="J3" s="3" t="s">
        <v>189</v>
      </c>
    </row>
    <row r="4" spans="1:10" x14ac:dyDescent="0.3">
      <c r="A4" s="3"/>
      <c r="B4" s="3" t="s">
        <v>190</v>
      </c>
      <c r="C4" s="3" t="s">
        <v>188</v>
      </c>
      <c r="D4" s="3" t="s">
        <v>188</v>
      </c>
      <c r="E4" s="3" t="s">
        <v>191</v>
      </c>
      <c r="F4" s="14" t="s">
        <v>192</v>
      </c>
      <c r="G4" s="3">
        <v>2021</v>
      </c>
      <c r="I4" s="3" t="s">
        <v>193</v>
      </c>
      <c r="J4" s="3" t="s">
        <v>194</v>
      </c>
    </row>
    <row r="5" spans="1:10" x14ac:dyDescent="0.3">
      <c r="A5" s="3"/>
      <c r="B5" s="3" t="s">
        <v>195</v>
      </c>
      <c r="C5" s="3" t="s">
        <v>193</v>
      </c>
      <c r="D5" s="3" t="s">
        <v>193</v>
      </c>
      <c r="E5" s="3" t="s">
        <v>196</v>
      </c>
      <c r="F5" s="14"/>
      <c r="G5" s="3">
        <v>2024</v>
      </c>
    </row>
    <row r="6" spans="1:10" x14ac:dyDescent="0.3">
      <c r="A6" s="3"/>
      <c r="B6" s="3"/>
      <c r="C6" s="3" t="s">
        <v>197</v>
      </c>
      <c r="D6" s="3" t="s">
        <v>197</v>
      </c>
      <c r="E6" s="3"/>
      <c r="F6" s="3"/>
      <c r="G6" s="3"/>
    </row>
    <row r="7" spans="1:10" x14ac:dyDescent="0.3">
      <c r="A7" s="3"/>
      <c r="B7" s="3"/>
      <c r="C7" s="3" t="s">
        <v>198</v>
      </c>
      <c r="D7" s="3" t="s">
        <v>198</v>
      </c>
      <c r="E7" s="3"/>
      <c r="F7" s="3"/>
      <c r="G7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fd4f79-f100-45f8-b096-27a8e4d4f753" xsi:nil="true"/>
    <lcf76f155ced4ddcb4097134ff3c332f xmlns="b2a7b322-1d78-4190-bfa5-8eb560a37b1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26138539588F49A48E7663ED427941" ma:contentTypeVersion="13" ma:contentTypeDescription="Create a new document." ma:contentTypeScope="" ma:versionID="fa2e1f60bf92bf0b0ec19aa58296beab">
  <xsd:schema xmlns:xsd="http://www.w3.org/2001/XMLSchema" xmlns:xs="http://www.w3.org/2001/XMLSchema" xmlns:p="http://schemas.microsoft.com/office/2006/metadata/properties" xmlns:ns2="b2a7b322-1d78-4190-bfa5-8eb560a37b16" xmlns:ns3="75fd4f79-f100-45f8-b096-27a8e4d4f753" targetNamespace="http://schemas.microsoft.com/office/2006/metadata/properties" ma:root="true" ma:fieldsID="06d71f6b162b5f7a6038f89f6d5e43aa" ns2:_="" ns3:_="">
    <xsd:import namespace="b2a7b322-1d78-4190-bfa5-8eb560a37b16"/>
    <xsd:import namespace="75fd4f79-f100-45f8-b096-27a8e4d4f7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a7b322-1d78-4190-bfa5-8eb560a37b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7461400-c892-45e1-8a6c-acac7f005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d4f79-f100-45f8-b096-27a8e4d4f75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d2c716e-944a-4ed3-8b7e-c564517299d9}" ma:internalName="TaxCatchAll" ma:showField="CatchAllData" ma:web="75fd4f79-f100-45f8-b096-27a8e4d4f7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36B312-EC9E-49B4-8CE0-8FC7F70809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2F3C16-4AB8-4D4B-ACD9-9B2EF078BADB}">
  <ds:schemaRefs>
    <ds:schemaRef ds:uri="http://schemas.microsoft.com/office/2006/metadata/properties"/>
    <ds:schemaRef ds:uri="http://schemas.microsoft.com/office/infopath/2007/PartnerControls"/>
    <ds:schemaRef ds:uri="75fd4f79-f100-45f8-b096-27a8e4d4f753"/>
    <ds:schemaRef ds:uri="b2a7b322-1d78-4190-bfa5-8eb560a37b16"/>
  </ds:schemaRefs>
</ds:datastoreItem>
</file>

<file path=customXml/itemProps3.xml><?xml version="1.0" encoding="utf-8"?>
<ds:datastoreItem xmlns:ds="http://schemas.openxmlformats.org/officeDocument/2006/customXml" ds:itemID="{9252CBDB-5DFA-4BE6-88A7-66F0AAEFF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a7b322-1d78-4190-bfa5-8eb560a37b16"/>
    <ds:schemaRef ds:uri="75fd4f79-f100-45f8-b096-27a8e4d4f7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PV_BESS BOD</vt:lpstr>
      <vt:lpstr>Substation BOD</vt:lpstr>
      <vt:lpstr>Data</vt:lpstr>
      <vt:lpstr>'PV_BESS BOD'!Print_Area</vt:lpstr>
      <vt:lpstr>'Substation BOD'!Print_Area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Klug</dc:creator>
  <cp:keywords/>
  <dc:description/>
  <cp:lastModifiedBy>Michael Shaffer</cp:lastModifiedBy>
  <cp:revision/>
  <dcterms:created xsi:type="dcterms:W3CDTF">2025-08-05T17:26:31Z</dcterms:created>
  <dcterms:modified xsi:type="dcterms:W3CDTF">2025-09-19T14:13:14Z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152700</vt:r8>
  </property>
  <property fmtid="{D5CDD505-2E9C-101B-9397-08002B2CF9AE}" pid="3" name="ContentTypeId">
    <vt:lpwstr>0x0101004A26138539588F49A48E7663ED427941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